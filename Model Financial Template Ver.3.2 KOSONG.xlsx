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Wadhwani Foundation\"/>
    </mc:Choice>
  </mc:AlternateContent>
  <xr:revisionPtr revIDLastSave="0" documentId="13_ncr:1_{ECF3EB8D-2D4C-4F86-96B4-C4B9770543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vigasi" sheetId="2" r:id="rId1"/>
    <sheet name="Proyeksi Arus Kas" sheetId="1" r:id="rId2"/>
    <sheet name="Processing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2" l="1"/>
  <c r="L36" i="2"/>
  <c r="L1" i="1" s="1"/>
  <c r="X1" i="1" s="1"/>
  <c r="AJ1" i="1" s="1"/>
  <c r="B29" i="1"/>
  <c r="C29" i="1" s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19" i="3"/>
  <c r="J25" i="3"/>
  <c r="J26" i="3"/>
  <c r="J27" i="3"/>
  <c r="J28" i="3"/>
  <c r="J29" i="3"/>
  <c r="J30" i="3"/>
  <c r="J31" i="3"/>
  <c r="J32" i="3"/>
  <c r="J33" i="3"/>
  <c r="J34" i="3"/>
  <c r="J35" i="3"/>
  <c r="J24" i="3"/>
  <c r="Y25" i="3"/>
  <c r="C23" i="1" s="1"/>
  <c r="Y24" i="3"/>
  <c r="B23" i="1" s="1"/>
  <c r="T12" i="3"/>
  <c r="Y23" i="3" s="1"/>
  <c r="J25" i="2"/>
  <c r="B31" i="1"/>
  <c r="C31" i="1" s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B30" i="1"/>
  <c r="C30" i="1" s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L31" i="2"/>
  <c r="M4" i="1"/>
  <c r="Y4" i="1" s="1"/>
  <c r="AK4" i="1" s="1"/>
  <c r="L4" i="1"/>
  <c r="X4" i="1" s="1"/>
  <c r="AJ4" i="1" s="1"/>
  <c r="K4" i="1"/>
  <c r="W4" i="1" s="1"/>
  <c r="AI4" i="1" s="1"/>
  <c r="J4" i="1"/>
  <c r="V4" i="1" s="1"/>
  <c r="AH4" i="1" s="1"/>
  <c r="I4" i="1"/>
  <c r="U4" i="1" s="1"/>
  <c r="AG4" i="1" s="1"/>
  <c r="H4" i="1"/>
  <c r="T4" i="1" s="1"/>
  <c r="AF4" i="1" s="1"/>
  <c r="G4" i="1"/>
  <c r="S4" i="1" s="1"/>
  <c r="AE4" i="1" s="1"/>
  <c r="F4" i="1"/>
  <c r="R4" i="1" s="1"/>
  <c r="AD4" i="1" s="1"/>
  <c r="E4" i="1"/>
  <c r="Q4" i="1" s="1"/>
  <c r="AC4" i="1" s="1"/>
  <c r="D4" i="1"/>
  <c r="P4" i="1" s="1"/>
  <c r="AB4" i="1" s="1"/>
  <c r="C4" i="1"/>
  <c r="O4" i="1" s="1"/>
  <c r="AA4" i="1" s="1"/>
  <c r="B4" i="1"/>
  <c r="N4" i="1" s="1"/>
  <c r="Z4" i="1" s="1"/>
  <c r="L32" i="2"/>
  <c r="A3" i="1"/>
  <c r="N3" i="1" s="1"/>
  <c r="Z3" i="1" s="1"/>
  <c r="AM3" i="1" s="1"/>
  <c r="A2" i="1"/>
  <c r="N2" i="1" s="1"/>
  <c r="Z2" i="1" s="1"/>
  <c r="AM2" i="1" s="1"/>
  <c r="T25" i="3"/>
  <c r="C18" i="1" s="1"/>
  <c r="S25" i="3"/>
  <c r="C17" i="1" s="1"/>
  <c r="S24" i="3"/>
  <c r="B17" i="1" s="1"/>
  <c r="R25" i="3"/>
  <c r="R26" i="3" s="1"/>
  <c r="D16" i="1" s="1"/>
  <c r="Q25" i="3"/>
  <c r="C15" i="1" s="1"/>
  <c r="B44" i="2"/>
  <c r="G58" i="2" s="1"/>
  <c r="B43" i="2"/>
  <c r="G57" i="2" s="1"/>
  <c r="B42" i="2"/>
  <c r="G56" i="2" s="1"/>
  <c r="B41" i="2"/>
  <c r="G55" i="2" s="1"/>
  <c r="B40" i="2"/>
  <c r="G54" i="2" s="1"/>
  <c r="B48" i="3"/>
  <c r="B47" i="3"/>
  <c r="D25" i="3"/>
  <c r="D26" i="3"/>
  <c r="D27" i="3"/>
  <c r="D28" i="3"/>
  <c r="D29" i="3"/>
  <c r="D30" i="3"/>
  <c r="D31" i="3"/>
  <c r="D32" i="3"/>
  <c r="D33" i="3"/>
  <c r="D34" i="3"/>
  <c r="D35" i="3"/>
  <c r="D24" i="3"/>
  <c r="M28" i="2"/>
  <c r="F19" i="3"/>
  <c r="X24" i="3"/>
  <c r="B22" i="1" s="1"/>
  <c r="W24" i="3"/>
  <c r="B21" i="1" s="1"/>
  <c r="V24" i="3"/>
  <c r="B20" i="1" s="1"/>
  <c r="U24" i="3"/>
  <c r="B19" i="1" s="1"/>
  <c r="T24" i="3"/>
  <c r="B18" i="1" s="1"/>
  <c r="R24" i="3"/>
  <c r="B16" i="1" s="1"/>
  <c r="Q24" i="3"/>
  <c r="B15" i="1" s="1"/>
  <c r="P9" i="3"/>
  <c r="P8" i="3"/>
  <c r="P7" i="3"/>
  <c r="P6" i="3"/>
  <c r="P5" i="3"/>
  <c r="O9" i="3"/>
  <c r="O8" i="3"/>
  <c r="O7" i="3"/>
  <c r="O6" i="3"/>
  <c r="O5" i="3"/>
  <c r="N9" i="3"/>
  <c r="N8" i="3"/>
  <c r="N7" i="3"/>
  <c r="N6" i="3"/>
  <c r="N5" i="3"/>
  <c r="M9" i="3"/>
  <c r="M8" i="3"/>
  <c r="M7" i="3"/>
  <c r="M6" i="3"/>
  <c r="M5" i="3"/>
  <c r="L9" i="3"/>
  <c r="L8" i="3"/>
  <c r="L7" i="3"/>
  <c r="L5" i="3"/>
  <c r="H35" i="2"/>
  <c r="I35" i="2"/>
  <c r="C35" i="2"/>
  <c r="P4" i="3"/>
  <c r="O4" i="3"/>
  <c r="N4" i="3"/>
  <c r="M4" i="3"/>
  <c r="L4" i="3"/>
  <c r="T5" i="3"/>
  <c r="R23" i="3" s="1"/>
  <c r="T6" i="3"/>
  <c r="S23" i="3" s="1"/>
  <c r="T7" i="3"/>
  <c r="T23" i="3" s="1"/>
  <c r="T8" i="3"/>
  <c r="U23" i="3" s="1"/>
  <c r="T9" i="3"/>
  <c r="A20" i="1" s="1"/>
  <c r="T10" i="3"/>
  <c r="A21" i="1" s="1"/>
  <c r="T11" i="3"/>
  <c r="X23" i="3" s="1"/>
  <c r="T4" i="3"/>
  <c r="Q23" i="3" s="1"/>
  <c r="I29" i="2"/>
  <c r="I28" i="2"/>
  <c r="H29" i="2"/>
  <c r="H28" i="2"/>
  <c r="C28" i="2"/>
  <c r="D28" i="2"/>
  <c r="E28" i="2"/>
  <c r="D29" i="2"/>
  <c r="E29" i="2"/>
  <c r="E9" i="3"/>
  <c r="N44" i="3" s="1"/>
  <c r="E8" i="3"/>
  <c r="N43" i="3" s="1"/>
  <c r="E7" i="3"/>
  <c r="E6" i="3"/>
  <c r="N41" i="3" s="1"/>
  <c r="O18" i="3"/>
  <c r="J13" i="3"/>
  <c r="C41" i="3"/>
  <c r="C42" i="3" s="1"/>
  <c r="E16" i="3"/>
  <c r="D16" i="3"/>
  <c r="C16" i="3"/>
  <c r="J9" i="2"/>
  <c r="D9" i="3"/>
  <c r="L44" i="3" s="1"/>
  <c r="D8" i="3"/>
  <c r="L43" i="3" s="1"/>
  <c r="D7" i="3"/>
  <c r="L42" i="3" s="1"/>
  <c r="D6" i="3"/>
  <c r="L41" i="3" s="1"/>
  <c r="C9" i="3"/>
  <c r="K9" i="3" s="1"/>
  <c r="C8" i="3"/>
  <c r="J43" i="3" s="1"/>
  <c r="A83" i="3" s="1"/>
  <c r="C7" i="3"/>
  <c r="A8" i="1" s="1"/>
  <c r="C6" i="3"/>
  <c r="J41" i="3" s="1"/>
  <c r="A81" i="3" s="1"/>
  <c r="C5" i="3"/>
  <c r="J40" i="3" s="1"/>
  <c r="A80" i="3" s="1"/>
  <c r="E50" i="3"/>
  <c r="E51" i="3"/>
  <c r="K11" i="2" l="1"/>
  <c r="K9" i="2"/>
  <c r="F17" i="3"/>
  <c r="C17" i="3" s="1"/>
  <c r="E35" i="3" s="1"/>
  <c r="K10" i="2"/>
  <c r="K12" i="2"/>
  <c r="D25" i="2"/>
  <c r="E5" i="3"/>
  <c r="N40" i="3" s="1"/>
  <c r="D5" i="3"/>
  <c r="L40" i="3" s="1"/>
  <c r="C29" i="2"/>
  <c r="C36" i="2" s="1"/>
  <c r="A23" i="1"/>
  <c r="B24" i="1"/>
  <c r="AP31" i="1"/>
  <c r="AO31" i="1"/>
  <c r="AO30" i="1"/>
  <c r="AP30" i="1"/>
  <c r="AM31" i="1"/>
  <c r="AM30" i="1"/>
  <c r="AN31" i="1"/>
  <c r="AN30" i="1"/>
  <c r="O29" i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N29" i="1"/>
  <c r="N23" i="1"/>
  <c r="Y26" i="3"/>
  <c r="D23" i="1" s="1"/>
  <c r="P23" i="1" s="1"/>
  <c r="AB23" i="1" s="1"/>
  <c r="C16" i="1"/>
  <c r="O16" i="1" s="1"/>
  <c r="AA16" i="1" s="1"/>
  <c r="O23" i="1"/>
  <c r="AA23" i="1" s="1"/>
  <c r="I36" i="2"/>
  <c r="S26" i="3"/>
  <c r="D17" i="1" s="1"/>
  <c r="P17" i="1" s="1"/>
  <c r="AB17" i="1" s="1"/>
  <c r="U25" i="3"/>
  <c r="C19" i="1" s="1"/>
  <c r="O19" i="1" s="1"/>
  <c r="AA19" i="1" s="1"/>
  <c r="T26" i="3"/>
  <c r="Q26" i="3"/>
  <c r="D15" i="1" s="1"/>
  <c r="R27" i="3"/>
  <c r="V25" i="3"/>
  <c r="W25" i="3"/>
  <c r="X25" i="3"/>
  <c r="D36" i="3"/>
  <c r="H36" i="2"/>
  <c r="E36" i="2"/>
  <c r="A22" i="1"/>
  <c r="V23" i="3"/>
  <c r="A15" i="1"/>
  <c r="N22" i="1"/>
  <c r="Q9" i="3"/>
  <c r="M44" i="3" s="1"/>
  <c r="P44" i="3" s="1"/>
  <c r="Q8" i="3"/>
  <c r="M43" i="3" s="1"/>
  <c r="P43" i="3" s="1"/>
  <c r="Q7" i="3"/>
  <c r="M42" i="3" s="1"/>
  <c r="Q5" i="3"/>
  <c r="M40" i="3" s="1"/>
  <c r="W23" i="3"/>
  <c r="A16" i="1"/>
  <c r="A17" i="1"/>
  <c r="A18" i="1"/>
  <c r="A19" i="1"/>
  <c r="O15" i="1"/>
  <c r="N20" i="1"/>
  <c r="Z20" i="1" s="1"/>
  <c r="N21" i="1"/>
  <c r="P16" i="1"/>
  <c r="AB16" i="1" s="1"/>
  <c r="O17" i="1"/>
  <c r="AA17" i="1" s="1"/>
  <c r="N15" i="1"/>
  <c r="O18" i="1"/>
  <c r="AA18" i="1" s="1"/>
  <c r="N18" i="1"/>
  <c r="N19" i="1"/>
  <c r="Z19" i="1" s="1"/>
  <c r="N42" i="3"/>
  <c r="N17" i="1"/>
  <c r="Z17" i="1" s="1"/>
  <c r="A7" i="1"/>
  <c r="L23" i="3"/>
  <c r="N16" i="1"/>
  <c r="Z16" i="1" s="1"/>
  <c r="K5" i="3"/>
  <c r="K8" i="3"/>
  <c r="A6" i="1"/>
  <c r="A9" i="1"/>
  <c r="N23" i="3"/>
  <c r="D17" i="3"/>
  <c r="F30" i="3" s="1"/>
  <c r="T9" i="1" s="1"/>
  <c r="E17" i="3"/>
  <c r="G35" i="3" s="1"/>
  <c r="AK10" i="1" s="1"/>
  <c r="K6" i="3"/>
  <c r="A10" i="1"/>
  <c r="J44" i="3"/>
  <c r="A84" i="3" s="1"/>
  <c r="O23" i="3"/>
  <c r="M23" i="3"/>
  <c r="K7" i="3"/>
  <c r="J42" i="3"/>
  <c r="A82" i="3" s="1"/>
  <c r="K23" i="3"/>
  <c r="F20" i="3" l="1"/>
  <c r="E11" i="3"/>
  <c r="M6" i="1"/>
  <c r="P40" i="3"/>
  <c r="Z21" i="1"/>
  <c r="Z23" i="1"/>
  <c r="Z22" i="1"/>
  <c r="AO29" i="1"/>
  <c r="Z15" i="1"/>
  <c r="N24" i="1"/>
  <c r="AA15" i="1"/>
  <c r="P15" i="1"/>
  <c r="AA29" i="1"/>
  <c r="Y27" i="3"/>
  <c r="Y28" i="3" s="1"/>
  <c r="Q27" i="3"/>
  <c r="E15" i="1" s="1"/>
  <c r="S27" i="3"/>
  <c r="S28" i="3" s="1"/>
  <c r="U26" i="3"/>
  <c r="U27" i="3" s="1"/>
  <c r="T27" i="3"/>
  <c r="D18" i="1"/>
  <c r="P18" i="1" s="1"/>
  <c r="AB18" i="1" s="1"/>
  <c r="E16" i="1"/>
  <c r="Q16" i="1" s="1"/>
  <c r="AC16" i="1" s="1"/>
  <c r="R28" i="3"/>
  <c r="C21" i="1"/>
  <c r="W26" i="3"/>
  <c r="C20" i="1"/>
  <c r="O20" i="1" s="1"/>
  <c r="AA20" i="1" s="1"/>
  <c r="V26" i="3"/>
  <c r="C22" i="1"/>
  <c r="X26" i="3"/>
  <c r="P42" i="3"/>
  <c r="Z18" i="1"/>
  <c r="AK7" i="1"/>
  <c r="N35" i="3"/>
  <c r="E26" i="3"/>
  <c r="D9" i="1" s="1"/>
  <c r="E31" i="3"/>
  <c r="I7" i="1" s="1"/>
  <c r="M9" i="1"/>
  <c r="E30" i="3"/>
  <c r="L30" i="3" s="1"/>
  <c r="L35" i="3"/>
  <c r="E29" i="3"/>
  <c r="L29" i="3" s="1"/>
  <c r="E28" i="3"/>
  <c r="K28" i="3" s="1"/>
  <c r="M8" i="1"/>
  <c r="O35" i="3"/>
  <c r="M7" i="1"/>
  <c r="E27" i="3"/>
  <c r="L27" i="3" s="1"/>
  <c r="E34" i="3"/>
  <c r="L10" i="1" s="1"/>
  <c r="G33" i="3"/>
  <c r="AI6" i="1" s="1"/>
  <c r="AK6" i="1"/>
  <c r="F27" i="3"/>
  <c r="Q10" i="1" s="1"/>
  <c r="F29" i="3"/>
  <c r="S10" i="1" s="1"/>
  <c r="F33" i="3"/>
  <c r="W8" i="1" s="1"/>
  <c r="G27" i="3"/>
  <c r="AC6" i="1" s="1"/>
  <c r="G26" i="3"/>
  <c r="AB8" i="1" s="1"/>
  <c r="E33" i="3"/>
  <c r="K33" i="3" s="1"/>
  <c r="M35" i="3"/>
  <c r="E25" i="3"/>
  <c r="N25" i="3" s="1"/>
  <c r="AK8" i="1"/>
  <c r="E32" i="3"/>
  <c r="J7" i="1" s="1"/>
  <c r="M10" i="1"/>
  <c r="E24" i="3"/>
  <c r="L24" i="3" s="1"/>
  <c r="D41" i="3"/>
  <c r="D42" i="3" s="1"/>
  <c r="G30" i="3"/>
  <c r="AF9" i="1" s="1"/>
  <c r="K35" i="3"/>
  <c r="F32" i="3"/>
  <c r="V7" i="1" s="1"/>
  <c r="F31" i="3"/>
  <c r="U10" i="1" s="1"/>
  <c r="G34" i="3"/>
  <c r="AJ6" i="1" s="1"/>
  <c r="F25" i="3"/>
  <c r="O7" i="1" s="1"/>
  <c r="G29" i="3"/>
  <c r="AE10" i="1" s="1"/>
  <c r="T10" i="1"/>
  <c r="F24" i="3"/>
  <c r="N8" i="1" s="1"/>
  <c r="G25" i="3"/>
  <c r="AA10" i="1" s="1"/>
  <c r="G28" i="3"/>
  <c r="AD10" i="1" s="1"/>
  <c r="G32" i="3"/>
  <c r="AH10" i="1" s="1"/>
  <c r="F35" i="3"/>
  <c r="Y8" i="1" s="1"/>
  <c r="T8" i="1"/>
  <c r="F34" i="3"/>
  <c r="X10" i="1" s="1"/>
  <c r="T6" i="1"/>
  <c r="F26" i="3"/>
  <c r="P7" i="1" s="1"/>
  <c r="G24" i="3"/>
  <c r="Z7" i="1" s="1"/>
  <c r="T7" i="1"/>
  <c r="AK9" i="1"/>
  <c r="G31" i="3"/>
  <c r="AG7" i="1" s="1"/>
  <c r="F28" i="3"/>
  <c r="R10" i="1" s="1"/>
  <c r="E41" i="3"/>
  <c r="C24" i="1" l="1"/>
  <c r="D19" i="1"/>
  <c r="Q28" i="3"/>
  <c r="O21" i="1"/>
  <c r="AA21" i="1" s="1"/>
  <c r="AB15" i="1"/>
  <c r="Z24" i="1"/>
  <c r="Q15" i="1"/>
  <c r="AB29" i="1"/>
  <c r="E23" i="1"/>
  <c r="E17" i="1"/>
  <c r="Q17" i="1" s="1"/>
  <c r="AC17" i="1" s="1"/>
  <c r="Y29" i="3"/>
  <c r="F23" i="1"/>
  <c r="R23" i="1" s="1"/>
  <c r="AD23" i="1" s="1"/>
  <c r="T28" i="3"/>
  <c r="E18" i="1"/>
  <c r="Q18" i="1" s="1"/>
  <c r="AC18" i="1" s="1"/>
  <c r="F17" i="1"/>
  <c r="S29" i="3"/>
  <c r="W27" i="3"/>
  <c r="D21" i="1"/>
  <c r="P21" i="1" s="1"/>
  <c r="AB21" i="1" s="1"/>
  <c r="R29" i="3"/>
  <c r="F16" i="1"/>
  <c r="R16" i="1" s="1"/>
  <c r="AD16" i="1" s="1"/>
  <c r="U28" i="3"/>
  <c r="E19" i="1"/>
  <c r="P19" i="1"/>
  <c r="Q29" i="3"/>
  <c r="F15" i="1"/>
  <c r="V27" i="3"/>
  <c r="D20" i="1"/>
  <c r="P20" i="1" s="1"/>
  <c r="AB20" i="1" s="1"/>
  <c r="O22" i="1"/>
  <c r="D22" i="1"/>
  <c r="X27" i="3"/>
  <c r="F6" i="1"/>
  <c r="AF8" i="1"/>
  <c r="AB10" i="1"/>
  <c r="O26" i="3"/>
  <c r="D6" i="1"/>
  <c r="M27" i="3"/>
  <c r="L28" i="3"/>
  <c r="N28" i="3"/>
  <c r="F7" i="1"/>
  <c r="O28" i="3"/>
  <c r="AJ8" i="1"/>
  <c r="D7" i="1"/>
  <c r="L26" i="3"/>
  <c r="L34" i="3"/>
  <c r="O34" i="3"/>
  <c r="G8" i="1"/>
  <c r="N29" i="3"/>
  <c r="AC8" i="1"/>
  <c r="G7" i="1"/>
  <c r="AC9" i="1"/>
  <c r="M29" i="3"/>
  <c r="AC7" i="1"/>
  <c r="AC10" i="1"/>
  <c r="E6" i="1"/>
  <c r="G9" i="1"/>
  <c r="E7" i="1"/>
  <c r="G10" i="1"/>
  <c r="N27" i="3"/>
  <c r="K29" i="3"/>
  <c r="M28" i="3"/>
  <c r="AB7" i="1"/>
  <c r="O30" i="3"/>
  <c r="D8" i="1"/>
  <c r="K30" i="3"/>
  <c r="N30" i="3"/>
  <c r="M31" i="3"/>
  <c r="H6" i="1"/>
  <c r="I6" i="1"/>
  <c r="H7" i="1"/>
  <c r="O31" i="3"/>
  <c r="M11" i="1"/>
  <c r="M30" i="3"/>
  <c r="I8" i="1"/>
  <c r="O29" i="3"/>
  <c r="K31" i="3"/>
  <c r="I9" i="1"/>
  <c r="N31" i="3"/>
  <c r="M26" i="3"/>
  <c r="I10" i="1"/>
  <c r="D10" i="1"/>
  <c r="F41" i="3"/>
  <c r="C7" i="1"/>
  <c r="AF10" i="1"/>
  <c r="N26" i="3"/>
  <c r="O25" i="3"/>
  <c r="AF7" i="1"/>
  <c r="K26" i="3"/>
  <c r="N24" i="3"/>
  <c r="O24" i="3"/>
  <c r="F8" i="1"/>
  <c r="F9" i="1"/>
  <c r="E8" i="1"/>
  <c r="F10" i="1"/>
  <c r="M32" i="3"/>
  <c r="G6" i="1"/>
  <c r="K34" i="3"/>
  <c r="E9" i="1"/>
  <c r="J8" i="1"/>
  <c r="L6" i="1"/>
  <c r="H8" i="1"/>
  <c r="K27" i="3"/>
  <c r="J9" i="1"/>
  <c r="U7" i="1"/>
  <c r="L7" i="1"/>
  <c r="H9" i="1"/>
  <c r="O27" i="3"/>
  <c r="J10" i="1"/>
  <c r="U8" i="1"/>
  <c r="M34" i="3"/>
  <c r="H10" i="1"/>
  <c r="E10" i="1"/>
  <c r="L31" i="3"/>
  <c r="AB6" i="1"/>
  <c r="K7" i="1"/>
  <c r="L8" i="1"/>
  <c r="AB9" i="1"/>
  <c r="L9" i="1"/>
  <c r="K9" i="1"/>
  <c r="N33" i="3"/>
  <c r="K10" i="1"/>
  <c r="M33" i="3"/>
  <c r="B6" i="1"/>
  <c r="AG9" i="1"/>
  <c r="K6" i="1"/>
  <c r="B7" i="1"/>
  <c r="W9" i="1"/>
  <c r="AF6" i="1"/>
  <c r="L33" i="3"/>
  <c r="N34" i="3"/>
  <c r="B8" i="1"/>
  <c r="W10" i="1"/>
  <c r="B9" i="1"/>
  <c r="W6" i="1"/>
  <c r="O33" i="3"/>
  <c r="B10" i="1"/>
  <c r="W7" i="1"/>
  <c r="AJ9" i="1"/>
  <c r="K8" i="1"/>
  <c r="M24" i="3"/>
  <c r="AJ10" i="1"/>
  <c r="K24" i="3"/>
  <c r="AJ7" i="1"/>
  <c r="AD6" i="1"/>
  <c r="AD7" i="1"/>
  <c r="L32" i="3"/>
  <c r="AD8" i="1"/>
  <c r="O32" i="3"/>
  <c r="C8" i="1"/>
  <c r="K32" i="3"/>
  <c r="E36" i="3"/>
  <c r="C9" i="1"/>
  <c r="N32" i="3"/>
  <c r="C10" i="1"/>
  <c r="O8" i="1"/>
  <c r="K25" i="3"/>
  <c r="AG6" i="1"/>
  <c r="Q6" i="1"/>
  <c r="AK11" i="1"/>
  <c r="L25" i="3"/>
  <c r="AG10" i="1"/>
  <c r="AE7" i="1"/>
  <c r="Q7" i="1"/>
  <c r="U9" i="1"/>
  <c r="S6" i="1"/>
  <c r="M25" i="3"/>
  <c r="AE6" i="1"/>
  <c r="Q8" i="1"/>
  <c r="AI7" i="1"/>
  <c r="S7" i="1"/>
  <c r="C6" i="1"/>
  <c r="AE8" i="1"/>
  <c r="Q9" i="1"/>
  <c r="AI8" i="1"/>
  <c r="S8" i="1"/>
  <c r="AE9" i="1"/>
  <c r="AA7" i="1"/>
  <c r="AI9" i="1"/>
  <c r="S9" i="1"/>
  <c r="J6" i="1"/>
  <c r="AI10" i="1"/>
  <c r="O9" i="1"/>
  <c r="O10" i="1"/>
  <c r="O6" i="1"/>
  <c r="AD9" i="1"/>
  <c r="U6" i="1"/>
  <c r="AH6" i="1"/>
  <c r="T11" i="1"/>
  <c r="AH7" i="1"/>
  <c r="AA8" i="1"/>
  <c r="AH8" i="1"/>
  <c r="AA6" i="1"/>
  <c r="AG8" i="1"/>
  <c r="P9" i="1"/>
  <c r="V8" i="1"/>
  <c r="P8" i="1"/>
  <c r="V9" i="1"/>
  <c r="V10" i="1"/>
  <c r="V6" i="1"/>
  <c r="N9" i="1"/>
  <c r="N10" i="1"/>
  <c r="Z8" i="1"/>
  <c r="Z9" i="1"/>
  <c r="AA9" i="1"/>
  <c r="Z10" i="1"/>
  <c r="Y10" i="1"/>
  <c r="Y6" i="1"/>
  <c r="Y7" i="1"/>
  <c r="N7" i="1"/>
  <c r="AH9" i="1"/>
  <c r="P10" i="1"/>
  <c r="N6" i="1"/>
  <c r="P6" i="1"/>
  <c r="Y9" i="1"/>
  <c r="F36" i="3"/>
  <c r="H41" i="2" s="1"/>
  <c r="L41" i="2" s="1"/>
  <c r="G36" i="3"/>
  <c r="H42" i="2" s="1"/>
  <c r="L42" i="2" s="1"/>
  <c r="X6" i="1"/>
  <c r="R6" i="1"/>
  <c r="X7" i="1"/>
  <c r="X8" i="1"/>
  <c r="Z6" i="1"/>
  <c r="X9" i="1"/>
  <c r="R7" i="1"/>
  <c r="R8" i="1"/>
  <c r="R9" i="1"/>
  <c r="E42" i="3"/>
  <c r="Q23" i="1" l="1"/>
  <c r="AC23" i="1" s="1"/>
  <c r="O24" i="1"/>
  <c r="AC15" i="1"/>
  <c r="R15" i="1"/>
  <c r="D24" i="1"/>
  <c r="AC29" i="1"/>
  <c r="AD29" i="1" s="1"/>
  <c r="AE29" i="1" s="1"/>
  <c r="AF29" i="1" s="1"/>
  <c r="AG29" i="1" s="1"/>
  <c r="AH29" i="1" s="1"/>
  <c r="AI29" i="1" s="1"/>
  <c r="AJ29" i="1" s="1"/>
  <c r="AK29" i="1" s="1"/>
  <c r="Y30" i="3"/>
  <c r="G23" i="1"/>
  <c r="S23" i="1" s="1"/>
  <c r="AE23" i="1" s="1"/>
  <c r="G17" i="1"/>
  <c r="S17" i="1" s="1"/>
  <c r="AE17" i="1" s="1"/>
  <c r="S30" i="3"/>
  <c r="R17" i="1"/>
  <c r="F18" i="1"/>
  <c r="R18" i="1" s="1"/>
  <c r="AD18" i="1" s="1"/>
  <c r="T29" i="3"/>
  <c r="R30" i="3"/>
  <c r="G16" i="1"/>
  <c r="S16" i="1" s="1"/>
  <c r="AE16" i="1" s="1"/>
  <c r="E21" i="1"/>
  <c r="W28" i="3"/>
  <c r="E20" i="1"/>
  <c r="Q20" i="1" s="1"/>
  <c r="AC20" i="1" s="1"/>
  <c r="V28" i="3"/>
  <c r="G15" i="1"/>
  <c r="Q30" i="3"/>
  <c r="AB19" i="1"/>
  <c r="Q19" i="1"/>
  <c r="AC19" i="1" s="1"/>
  <c r="F19" i="1"/>
  <c r="U29" i="3"/>
  <c r="AA22" i="1"/>
  <c r="E22" i="1"/>
  <c r="X28" i="3"/>
  <c r="P22" i="1"/>
  <c r="P24" i="1" s="1"/>
  <c r="B11" i="1"/>
  <c r="G12" i="3"/>
  <c r="G10" i="3" s="1"/>
  <c r="H40" i="2"/>
  <c r="L40" i="2" s="1"/>
  <c r="AC11" i="1"/>
  <c r="D11" i="1"/>
  <c r="F11" i="1"/>
  <c r="H11" i="1"/>
  <c r="AN10" i="1"/>
  <c r="I11" i="1"/>
  <c r="G11" i="1"/>
  <c r="AI11" i="1"/>
  <c r="S11" i="1"/>
  <c r="C11" i="1"/>
  <c r="L11" i="1"/>
  <c r="AH11" i="1"/>
  <c r="AB11" i="1"/>
  <c r="E11" i="1"/>
  <c r="W11" i="1"/>
  <c r="AJ11" i="1"/>
  <c r="AF11" i="1"/>
  <c r="M36" i="3"/>
  <c r="C42" i="2" s="1"/>
  <c r="AN9" i="1"/>
  <c r="J11" i="1"/>
  <c r="O36" i="3"/>
  <c r="C44" i="2" s="1"/>
  <c r="AE11" i="1"/>
  <c r="AP7" i="1"/>
  <c r="AN7" i="1"/>
  <c r="K11" i="1"/>
  <c r="O11" i="1"/>
  <c r="L36" i="3"/>
  <c r="C41" i="2" s="1"/>
  <c r="AP10" i="1"/>
  <c r="AG11" i="1"/>
  <c r="K36" i="3"/>
  <c r="C40" i="2" s="1"/>
  <c r="AO10" i="1"/>
  <c r="AD11" i="1"/>
  <c r="Q11" i="1"/>
  <c r="U11" i="1"/>
  <c r="N36" i="3"/>
  <c r="C43" i="2" s="1"/>
  <c r="V11" i="1"/>
  <c r="AP8" i="1"/>
  <c r="AN8" i="1"/>
  <c r="AN6" i="1"/>
  <c r="AP9" i="1"/>
  <c r="AO8" i="1"/>
  <c r="AM7" i="1"/>
  <c r="Z11" i="1"/>
  <c r="X11" i="1"/>
  <c r="AA11" i="1"/>
  <c r="AO6" i="1"/>
  <c r="Y11" i="1"/>
  <c r="P11" i="1"/>
  <c r="N11" i="1"/>
  <c r="AM10" i="1"/>
  <c r="AM6" i="1"/>
  <c r="AP6" i="1"/>
  <c r="AM9" i="1"/>
  <c r="AM8" i="1"/>
  <c r="R11" i="1"/>
  <c r="F42" i="3"/>
  <c r="AO7" i="1"/>
  <c r="AO9" i="1"/>
  <c r="Q21" i="1" l="1"/>
  <c r="AC21" i="1" s="1"/>
  <c r="AA24" i="1"/>
  <c r="S15" i="1"/>
  <c r="AD15" i="1"/>
  <c r="AP29" i="1"/>
  <c r="E24" i="1"/>
  <c r="AM29" i="1"/>
  <c r="Y31" i="3"/>
  <c r="H23" i="1"/>
  <c r="T30" i="3"/>
  <c r="G18" i="1"/>
  <c r="S18" i="1" s="1"/>
  <c r="AE18" i="1" s="1"/>
  <c r="AD17" i="1"/>
  <c r="H17" i="1"/>
  <c r="S31" i="3"/>
  <c r="U30" i="3"/>
  <c r="G19" i="1"/>
  <c r="S19" i="1" s="1"/>
  <c r="AE19" i="1" s="1"/>
  <c r="R19" i="1"/>
  <c r="AD19" i="1" s="1"/>
  <c r="Q31" i="3"/>
  <c r="H15" i="1"/>
  <c r="V29" i="3"/>
  <c r="F20" i="1"/>
  <c r="R20" i="1" s="1"/>
  <c r="AD20" i="1" s="1"/>
  <c r="W29" i="3"/>
  <c r="F21" i="1"/>
  <c r="R21" i="1" s="1"/>
  <c r="AD21" i="1" s="1"/>
  <c r="R31" i="3"/>
  <c r="H16" i="1"/>
  <c r="T16" i="1" s="1"/>
  <c r="AF16" i="1" s="1"/>
  <c r="AB22" i="1"/>
  <c r="AB24" i="1" s="1"/>
  <c r="X29" i="3"/>
  <c r="F22" i="1"/>
  <c r="R22" i="1" s="1"/>
  <c r="Q22" i="1"/>
  <c r="M70" i="3"/>
  <c r="G8" i="3"/>
  <c r="F8" i="3" s="1"/>
  <c r="G6" i="3"/>
  <c r="F6" i="3" s="1"/>
  <c r="M63" i="3"/>
  <c r="M69" i="3"/>
  <c r="M65" i="3"/>
  <c r="M61" i="3"/>
  <c r="M68" i="3"/>
  <c r="M67" i="3"/>
  <c r="M62" i="3"/>
  <c r="M59" i="3"/>
  <c r="M64" i="3"/>
  <c r="M66" i="3"/>
  <c r="M60" i="3"/>
  <c r="G9" i="3"/>
  <c r="F9" i="3" s="1"/>
  <c r="F44" i="2"/>
  <c r="L44" i="2" s="1"/>
  <c r="G7" i="3"/>
  <c r="F7" i="3" s="1"/>
  <c r="G5" i="3"/>
  <c r="F5" i="3" s="1"/>
  <c r="AN11" i="1"/>
  <c r="B63" i="3" s="1"/>
  <c r="P36" i="3"/>
  <c r="B61" i="3" s="1"/>
  <c r="AP11" i="1"/>
  <c r="D63" i="3" s="1"/>
  <c r="AM11" i="1"/>
  <c r="AO11" i="1"/>
  <c r="C63" i="3" s="1"/>
  <c r="T23" i="1" l="1"/>
  <c r="AF23" i="1" s="1"/>
  <c r="Q24" i="1"/>
  <c r="T15" i="1"/>
  <c r="R24" i="1"/>
  <c r="F24" i="1"/>
  <c r="AE15" i="1"/>
  <c r="Y32" i="3"/>
  <c r="I23" i="1"/>
  <c r="U23" i="1" s="1"/>
  <c r="AG23" i="1" s="1"/>
  <c r="T17" i="1"/>
  <c r="I17" i="1"/>
  <c r="U17" i="1" s="1"/>
  <c r="AG17" i="1" s="1"/>
  <c r="S32" i="3"/>
  <c r="T31" i="3"/>
  <c r="H18" i="1"/>
  <c r="T18" i="1" s="1"/>
  <c r="AF18" i="1" s="1"/>
  <c r="I16" i="1"/>
  <c r="U16" i="1" s="1"/>
  <c r="AG16" i="1" s="1"/>
  <c r="R32" i="3"/>
  <c r="G21" i="1"/>
  <c r="W30" i="3"/>
  <c r="V30" i="3"/>
  <c r="G20" i="1"/>
  <c r="S20" i="1" s="1"/>
  <c r="AE20" i="1" s="1"/>
  <c r="Q32" i="3"/>
  <c r="I15" i="1"/>
  <c r="H19" i="1"/>
  <c r="U31" i="3"/>
  <c r="AC22" i="1"/>
  <c r="G22" i="1"/>
  <c r="X30" i="3"/>
  <c r="E63" i="3"/>
  <c r="D73" i="3"/>
  <c r="J71" i="2" s="1"/>
  <c r="C73" i="3"/>
  <c r="J70" i="2" s="1"/>
  <c r="L6" i="3"/>
  <c r="Q6" i="3" s="1"/>
  <c r="P24" i="3" s="1"/>
  <c r="B13" i="1" s="1"/>
  <c r="D35" i="2"/>
  <c r="D36" i="2" s="1"/>
  <c r="S21" i="1" l="1"/>
  <c r="AE21" i="1" s="1"/>
  <c r="AC24" i="1"/>
  <c r="U15" i="1"/>
  <c r="G24" i="1"/>
  <c r="AF15" i="1"/>
  <c r="Y33" i="3"/>
  <c r="J23" i="1"/>
  <c r="V23" i="1" s="1"/>
  <c r="AH23" i="1" s="1"/>
  <c r="T32" i="3"/>
  <c r="I18" i="1"/>
  <c r="U18" i="1" s="1"/>
  <c r="AG18" i="1" s="1"/>
  <c r="J17" i="1"/>
  <c r="V17" i="1" s="1"/>
  <c r="AH17" i="1" s="1"/>
  <c r="S33" i="3"/>
  <c r="AF17" i="1"/>
  <c r="I19" i="1"/>
  <c r="U19" i="1" s="1"/>
  <c r="AG19" i="1" s="1"/>
  <c r="U32" i="3"/>
  <c r="T19" i="1"/>
  <c r="Q33" i="3"/>
  <c r="J15" i="1"/>
  <c r="H20" i="1"/>
  <c r="T20" i="1" s="1"/>
  <c r="AF20" i="1" s="1"/>
  <c r="V31" i="3"/>
  <c r="H21" i="1"/>
  <c r="T21" i="1" s="1"/>
  <c r="AF21" i="1" s="1"/>
  <c r="W31" i="3"/>
  <c r="J16" i="1"/>
  <c r="V16" i="1" s="1"/>
  <c r="AH16" i="1" s="1"/>
  <c r="R33" i="3"/>
  <c r="H22" i="1"/>
  <c r="X31" i="3"/>
  <c r="S22" i="1"/>
  <c r="AD22" i="1"/>
  <c r="AD24" i="1" s="1"/>
  <c r="M41" i="3"/>
  <c r="P41" i="3" s="1"/>
  <c r="P45" i="3" s="1"/>
  <c r="N13" i="1"/>
  <c r="B26" i="1"/>
  <c r="P25" i="3"/>
  <c r="C13" i="1" s="1"/>
  <c r="P26" i="3"/>
  <c r="D13" i="1" s="1"/>
  <c r="P31" i="3"/>
  <c r="I13" i="1" s="1"/>
  <c r="P30" i="3"/>
  <c r="H13" i="1" s="1"/>
  <c r="P34" i="3"/>
  <c r="L13" i="1" s="1"/>
  <c r="P32" i="3"/>
  <c r="J13" i="1" s="1"/>
  <c r="P28" i="3"/>
  <c r="F13" i="1" s="1"/>
  <c r="P27" i="3"/>
  <c r="E13" i="1" s="1"/>
  <c r="P35" i="3"/>
  <c r="M13" i="1" s="1"/>
  <c r="P33" i="3"/>
  <c r="K13" i="1" s="1"/>
  <c r="P29" i="3"/>
  <c r="G13" i="1" s="1"/>
  <c r="S24" i="1" l="1"/>
  <c r="H24" i="1"/>
  <c r="H26" i="1" s="1"/>
  <c r="V15" i="1"/>
  <c r="AG15" i="1"/>
  <c r="Y34" i="3"/>
  <c r="K23" i="1"/>
  <c r="W23" i="1" s="1"/>
  <c r="S34" i="3"/>
  <c r="K17" i="1"/>
  <c r="T33" i="3"/>
  <c r="J18" i="1"/>
  <c r="V18" i="1" s="1"/>
  <c r="AH18" i="1" s="1"/>
  <c r="AF19" i="1"/>
  <c r="J19" i="1"/>
  <c r="U33" i="3"/>
  <c r="K16" i="1"/>
  <c r="R34" i="3"/>
  <c r="W32" i="3"/>
  <c r="I21" i="1"/>
  <c r="U21" i="1" s="1"/>
  <c r="AG21" i="1" s="1"/>
  <c r="I20" i="1"/>
  <c r="U20" i="1" s="1"/>
  <c r="AG20" i="1" s="1"/>
  <c r="V32" i="3"/>
  <c r="Q34" i="3"/>
  <c r="K15" i="1"/>
  <c r="AE22" i="1"/>
  <c r="AE24" i="1" s="1"/>
  <c r="I22" i="1"/>
  <c r="X32" i="3"/>
  <c r="T22" i="1"/>
  <c r="T24" i="1" s="1"/>
  <c r="G26" i="1"/>
  <c r="S13" i="1"/>
  <c r="Y13" i="1"/>
  <c r="R13" i="1"/>
  <c r="F26" i="1"/>
  <c r="X13" i="1"/>
  <c r="U13" i="1"/>
  <c r="O13" i="1"/>
  <c r="C26" i="1"/>
  <c r="B28" i="1"/>
  <c r="B32" i="1" s="1"/>
  <c r="W13" i="1"/>
  <c r="Q13" i="1"/>
  <c r="E26" i="1"/>
  <c r="V13" i="1"/>
  <c r="T13" i="1"/>
  <c r="D26" i="1"/>
  <c r="P13" i="1"/>
  <c r="N26" i="1"/>
  <c r="Z13" i="1"/>
  <c r="AN13" i="1"/>
  <c r="B34" i="1" l="1"/>
  <c r="I24" i="1"/>
  <c r="I26" i="1" s="1"/>
  <c r="AH15" i="1"/>
  <c r="AI23" i="1"/>
  <c r="Y35" i="3"/>
  <c r="M23" i="1" s="1"/>
  <c r="L23" i="1"/>
  <c r="X23" i="1" s="1"/>
  <c r="AJ23" i="1" s="1"/>
  <c r="K18" i="1"/>
  <c r="T34" i="3"/>
  <c r="W17" i="1"/>
  <c r="S35" i="3"/>
  <c r="M17" i="1" s="1"/>
  <c r="Y17" i="1" s="1"/>
  <c r="AK17" i="1" s="1"/>
  <c r="L17" i="1"/>
  <c r="X17" i="1" s="1"/>
  <c r="AJ17" i="1" s="1"/>
  <c r="W15" i="1"/>
  <c r="Q35" i="3"/>
  <c r="M15" i="1" s="1"/>
  <c r="L15" i="1"/>
  <c r="V33" i="3"/>
  <c r="J20" i="1"/>
  <c r="V20" i="1" s="1"/>
  <c r="AH20" i="1" s="1"/>
  <c r="W33" i="3"/>
  <c r="J21" i="1"/>
  <c r="V21" i="1" s="1"/>
  <c r="AH21" i="1" s="1"/>
  <c r="R35" i="3"/>
  <c r="M16" i="1" s="1"/>
  <c r="Y16" i="1" s="1"/>
  <c r="AK16" i="1" s="1"/>
  <c r="L16" i="1"/>
  <c r="X16" i="1" s="1"/>
  <c r="W16" i="1"/>
  <c r="AI16" i="1" s="1"/>
  <c r="K19" i="1"/>
  <c r="U34" i="3"/>
  <c r="V19" i="1"/>
  <c r="AF22" i="1"/>
  <c r="AF24" i="1" s="1"/>
  <c r="T26" i="1"/>
  <c r="J22" i="1"/>
  <c r="X33" i="3"/>
  <c r="U22" i="1"/>
  <c r="U24" i="1" s="1"/>
  <c r="B64" i="3"/>
  <c r="B65" i="3" s="1"/>
  <c r="H48" i="2" s="1"/>
  <c r="M49" i="3"/>
  <c r="AA13" i="1"/>
  <c r="AA26" i="1" s="1"/>
  <c r="O26" i="1"/>
  <c r="F28" i="1"/>
  <c r="F32" i="1" s="1"/>
  <c r="F34" i="1" s="1"/>
  <c r="Z26" i="1"/>
  <c r="AI13" i="1"/>
  <c r="N28" i="1"/>
  <c r="N32" i="1" s="1"/>
  <c r="E28" i="1"/>
  <c r="E32" i="1" s="1"/>
  <c r="E34" i="1" s="1"/>
  <c r="AJ13" i="1"/>
  <c r="AD13" i="1"/>
  <c r="AD26" i="1" s="1"/>
  <c r="R26" i="1"/>
  <c r="AK13" i="1"/>
  <c r="H28" i="1"/>
  <c r="H32" i="1" s="1"/>
  <c r="H34" i="1" s="1"/>
  <c r="AG13" i="1"/>
  <c r="Q26" i="1"/>
  <c r="AC13" i="1"/>
  <c r="AC26" i="1" s="1"/>
  <c r="AO13" i="1"/>
  <c r="C64" i="3" s="1"/>
  <c r="C65" i="3" s="1"/>
  <c r="J48" i="2" s="1"/>
  <c r="AB13" i="1"/>
  <c r="AB26" i="1" s="1"/>
  <c r="P26" i="1"/>
  <c r="D28" i="1"/>
  <c r="D32" i="1" s="1"/>
  <c r="D34" i="1" s="1"/>
  <c r="AF13" i="1"/>
  <c r="S26" i="1"/>
  <c r="AE13" i="1"/>
  <c r="AE26" i="1" s="1"/>
  <c r="AH13" i="1"/>
  <c r="C28" i="1"/>
  <c r="C32" i="1" s="1"/>
  <c r="C34" i="1" s="1"/>
  <c r="G28" i="1"/>
  <c r="G32" i="1" s="1"/>
  <c r="G34" i="1" s="1"/>
  <c r="Y23" i="1" l="1"/>
  <c r="AK23" i="1" s="1"/>
  <c r="AN23" i="1"/>
  <c r="N34" i="1"/>
  <c r="J24" i="1"/>
  <c r="J26" i="1" s="1"/>
  <c r="Y15" i="1"/>
  <c r="I28" i="1"/>
  <c r="I32" i="1" s="1"/>
  <c r="I34" i="1" s="1"/>
  <c r="AN17" i="1"/>
  <c r="M54" i="3" s="1"/>
  <c r="AI17" i="1"/>
  <c r="AP17" i="1" s="1"/>
  <c r="AO17" i="1"/>
  <c r="T35" i="3"/>
  <c r="M18" i="1" s="1"/>
  <c r="Y18" i="1" s="1"/>
  <c r="AK18" i="1" s="1"/>
  <c r="L18" i="1"/>
  <c r="X18" i="1" s="1"/>
  <c r="AJ18" i="1" s="1"/>
  <c r="AN16" i="1"/>
  <c r="M51" i="3" s="1"/>
  <c r="W18" i="1"/>
  <c r="AH19" i="1"/>
  <c r="L19" i="1"/>
  <c r="U35" i="3"/>
  <c r="M19" i="1" s="1"/>
  <c r="Y19" i="1" s="1"/>
  <c r="AK19" i="1" s="1"/>
  <c r="W19" i="1"/>
  <c r="AI19" i="1" s="1"/>
  <c r="AO16" i="1"/>
  <c r="AJ16" i="1"/>
  <c r="AP16" i="1" s="1"/>
  <c r="K21" i="1"/>
  <c r="W34" i="3"/>
  <c r="V34" i="3"/>
  <c r="K20" i="1"/>
  <c r="X15" i="1"/>
  <c r="AN15" i="1"/>
  <c r="AI15" i="1"/>
  <c r="AF26" i="1"/>
  <c r="AG22" i="1"/>
  <c r="AG24" i="1" s="1"/>
  <c r="U26" i="1"/>
  <c r="K22" i="1"/>
  <c r="X34" i="3"/>
  <c r="V22" i="1"/>
  <c r="V24" i="1" s="1"/>
  <c r="N59" i="3"/>
  <c r="N60" i="3"/>
  <c r="S28" i="1"/>
  <c r="S32" i="1" s="1"/>
  <c r="S34" i="1" s="1"/>
  <c r="P28" i="1"/>
  <c r="P32" i="1" s="1"/>
  <c r="P34" i="1" s="1"/>
  <c r="AM13" i="1"/>
  <c r="B58" i="3" s="1"/>
  <c r="Z28" i="1"/>
  <c r="Z32" i="1" s="1"/>
  <c r="AB28" i="1"/>
  <c r="AB32" i="1" s="1"/>
  <c r="AB34" i="1" s="1"/>
  <c r="AC28" i="1"/>
  <c r="AC32" i="1" s="1"/>
  <c r="AC34" i="1" s="1"/>
  <c r="O28" i="1"/>
  <c r="O32" i="1" s="1"/>
  <c r="O34" i="1" s="1"/>
  <c r="AE28" i="1"/>
  <c r="AE32" i="1" s="1"/>
  <c r="AE34" i="1" s="1"/>
  <c r="Q28" i="1"/>
  <c r="Q32" i="1" s="1"/>
  <c r="Q34" i="1" s="1"/>
  <c r="AA28" i="1"/>
  <c r="AA32" i="1" s="1"/>
  <c r="AA34" i="1" s="1"/>
  <c r="T28" i="1"/>
  <c r="T32" i="1" s="1"/>
  <c r="T34" i="1" s="1"/>
  <c r="AP13" i="1"/>
  <c r="D64" i="3" s="1"/>
  <c r="D65" i="3" s="1"/>
  <c r="K48" i="2" s="1"/>
  <c r="R28" i="1"/>
  <c r="R32" i="1" s="1"/>
  <c r="R34" i="1" s="1"/>
  <c r="AD28" i="1"/>
  <c r="AD32" i="1" s="1"/>
  <c r="AD34" i="1" s="1"/>
  <c r="AO23" i="1" l="1"/>
  <c r="K24" i="1"/>
  <c r="AM23" i="1"/>
  <c r="AP23" i="1"/>
  <c r="Z34" i="1"/>
  <c r="AJ15" i="1"/>
  <c r="AK15" i="1"/>
  <c r="J28" i="1"/>
  <c r="AF28" i="1"/>
  <c r="AF32" i="1" s="1"/>
  <c r="AF34" i="1" s="1"/>
  <c r="U28" i="1"/>
  <c r="U32" i="1" s="1"/>
  <c r="AM16" i="1"/>
  <c r="AI18" i="1"/>
  <c r="AP18" i="1" s="1"/>
  <c r="AO18" i="1"/>
  <c r="AN18" i="1"/>
  <c r="AM17" i="1"/>
  <c r="V35" i="3"/>
  <c r="M20" i="1" s="1"/>
  <c r="Y20" i="1" s="1"/>
  <c r="AK20" i="1" s="1"/>
  <c r="L20" i="1"/>
  <c r="B55" i="3"/>
  <c r="M50" i="3"/>
  <c r="W20" i="1"/>
  <c r="W35" i="3"/>
  <c r="M21" i="1" s="1"/>
  <c r="L21" i="1"/>
  <c r="X21" i="1" s="1"/>
  <c r="AJ21" i="1" s="1"/>
  <c r="W21" i="1"/>
  <c r="X19" i="1"/>
  <c r="AJ19" i="1" s="1"/>
  <c r="AM19" i="1" s="1"/>
  <c r="AN19" i="1"/>
  <c r="AO15" i="1"/>
  <c r="C55" i="3" s="1"/>
  <c r="AH22" i="1"/>
  <c r="V26" i="1"/>
  <c r="L22" i="1"/>
  <c r="X35" i="3"/>
  <c r="M22" i="1" s="1"/>
  <c r="AN22" i="1" s="1"/>
  <c r="W22" i="1"/>
  <c r="AG26" i="1"/>
  <c r="N68" i="3"/>
  <c r="N64" i="3"/>
  <c r="N63" i="3"/>
  <c r="E64" i="3"/>
  <c r="E65" i="3" s="1"/>
  <c r="AP15" i="1" l="1"/>
  <c r="D55" i="3" s="1"/>
  <c r="E55" i="3" s="1"/>
  <c r="L24" i="1"/>
  <c r="L26" i="1" s="1"/>
  <c r="Y21" i="1"/>
  <c r="AK21" i="1" s="1"/>
  <c r="AN21" i="1"/>
  <c r="W24" i="1"/>
  <c r="U34" i="1"/>
  <c r="AH24" i="1"/>
  <c r="AH26" i="1" s="1"/>
  <c r="AH28" i="1" s="1"/>
  <c r="AH32" i="1" s="1"/>
  <c r="AH34" i="1" s="1"/>
  <c r="M24" i="1"/>
  <c r="AM15" i="1"/>
  <c r="B57" i="3" s="1"/>
  <c r="H64" i="2" s="1"/>
  <c r="AN20" i="1"/>
  <c r="AG28" i="1"/>
  <c r="AG32" i="1" s="1"/>
  <c r="AG34" i="1" s="1"/>
  <c r="V28" i="1"/>
  <c r="J32" i="1"/>
  <c r="AM18" i="1"/>
  <c r="AP19" i="1"/>
  <c r="AO19" i="1"/>
  <c r="AI21" i="1"/>
  <c r="AI20" i="1"/>
  <c r="X20" i="1"/>
  <c r="K26" i="1"/>
  <c r="AI22" i="1"/>
  <c r="Y22" i="1"/>
  <c r="X22" i="1"/>
  <c r="N67" i="3"/>
  <c r="AO21" i="1" l="1"/>
  <c r="M26" i="1"/>
  <c r="M28" i="1" s="1"/>
  <c r="M32" i="1" s="1"/>
  <c r="M34" i="1" s="1"/>
  <c r="AN24" i="1"/>
  <c r="Y24" i="1"/>
  <c r="Y26" i="1" s="1"/>
  <c r="AO22" i="1"/>
  <c r="AI24" i="1"/>
  <c r="AI26" i="1" s="1"/>
  <c r="AP21" i="1"/>
  <c r="AM21" i="1"/>
  <c r="AJ20" i="1"/>
  <c r="AM20" i="1" s="1"/>
  <c r="X24" i="1"/>
  <c r="X26" i="1" s="1"/>
  <c r="J34" i="1"/>
  <c r="N61" i="3" s="1"/>
  <c r="N69" i="3"/>
  <c r="V32" i="1"/>
  <c r="L28" i="1"/>
  <c r="L32" i="1" s="1"/>
  <c r="L34" i="1" s="1"/>
  <c r="AO20" i="1"/>
  <c r="AJ22" i="1"/>
  <c r="AK22" i="1"/>
  <c r="W26" i="1"/>
  <c r="K28" i="1"/>
  <c r="K32" i="1" s="1"/>
  <c r="K34" i="1" s="1"/>
  <c r="AP20" i="1" l="1"/>
  <c r="AN26" i="1"/>
  <c r="B68" i="3" s="1"/>
  <c r="H67" i="2" s="1"/>
  <c r="AK24" i="1"/>
  <c r="AP22" i="1"/>
  <c r="AM22" i="1"/>
  <c r="V34" i="1"/>
  <c r="N65" i="3" s="1"/>
  <c r="AN32" i="1"/>
  <c r="AJ24" i="1"/>
  <c r="AJ26" i="1" s="1"/>
  <c r="Y28" i="1"/>
  <c r="Y32" i="1" s="1"/>
  <c r="Y34" i="1" s="1"/>
  <c r="AI28" i="1"/>
  <c r="AI32" i="1" s="1"/>
  <c r="X28" i="1"/>
  <c r="X32" i="1" s="1"/>
  <c r="X34" i="1" s="1"/>
  <c r="AO24" i="1"/>
  <c r="C67" i="3" s="1"/>
  <c r="C77" i="3" s="1"/>
  <c r="C82" i="3" s="1"/>
  <c r="J56" i="2" s="1"/>
  <c r="AN28" i="1"/>
  <c r="M52" i="3"/>
  <c r="B67" i="3"/>
  <c r="B77" i="3" s="1"/>
  <c r="W28" i="1"/>
  <c r="W32" i="1" s="1"/>
  <c r="W34" i="1" s="1"/>
  <c r="AO26" i="1"/>
  <c r="C68" i="3" s="1"/>
  <c r="AO32" i="1" l="1"/>
  <c r="AI34" i="1"/>
  <c r="C81" i="3"/>
  <c r="J55" i="2" s="1"/>
  <c r="C80" i="3"/>
  <c r="J54" i="2" s="1"/>
  <c r="J52" i="2"/>
  <c r="C83" i="3"/>
  <c r="J57" i="2" s="1"/>
  <c r="C84" i="3"/>
  <c r="J58" i="2" s="1"/>
  <c r="AK26" i="1"/>
  <c r="AM24" i="1"/>
  <c r="E67" i="3" s="1"/>
  <c r="AO28" i="1"/>
  <c r="C70" i="3" s="1"/>
  <c r="B81" i="3"/>
  <c r="H52" i="2"/>
  <c r="B82" i="3"/>
  <c r="B84" i="3"/>
  <c r="B80" i="3"/>
  <c r="AP24" i="1"/>
  <c r="D67" i="3" s="1"/>
  <c r="D77" i="3" s="1"/>
  <c r="AJ28" i="1"/>
  <c r="AJ32" i="1" s="1"/>
  <c r="AJ34" i="1" s="1"/>
  <c r="B70" i="3"/>
  <c r="M53" i="3"/>
  <c r="N62" i="3"/>
  <c r="AN34" i="1"/>
  <c r="AM26" i="1" l="1"/>
  <c r="E68" i="3" s="1"/>
  <c r="AP26" i="1"/>
  <c r="D68" i="3" s="1"/>
  <c r="D80" i="3"/>
  <c r="K54" i="2" s="1"/>
  <c r="D83" i="3"/>
  <c r="K57" i="2" s="1"/>
  <c r="D82" i="3"/>
  <c r="K56" i="2" s="1"/>
  <c r="D84" i="3"/>
  <c r="K58" i="2" s="1"/>
  <c r="K52" i="2"/>
  <c r="D81" i="3"/>
  <c r="K55" i="2" s="1"/>
  <c r="E77" i="3"/>
  <c r="H54" i="2"/>
  <c r="H58" i="2"/>
  <c r="H56" i="2"/>
  <c r="B83" i="3"/>
  <c r="H55" i="2"/>
  <c r="N66" i="3"/>
  <c r="AO34" i="1"/>
  <c r="C71" i="3" s="1"/>
  <c r="B71" i="3"/>
  <c r="H61" i="2" s="1"/>
  <c r="M55" i="3"/>
  <c r="AK28" i="1"/>
  <c r="AP28" i="1" l="1"/>
  <c r="D70" i="3" s="1"/>
  <c r="AK32" i="1"/>
  <c r="AP32" i="1" s="1"/>
  <c r="E82" i="3"/>
  <c r="E80" i="3"/>
  <c r="E84" i="3"/>
  <c r="E81" i="3"/>
  <c r="AM28" i="1"/>
  <c r="E70" i="3" s="1"/>
  <c r="H57" i="2"/>
  <c r="E83" i="3"/>
  <c r="AK34" i="1" l="1"/>
  <c r="AM34" i="1" s="1"/>
  <c r="E71" i="3" s="1"/>
  <c r="AM32" i="1"/>
  <c r="N70" i="3" l="1"/>
  <c r="AP34" i="1"/>
  <c r="D71" i="3" s="1"/>
  <c r="B59" i="3"/>
  <c r="C47" i="3"/>
  <c r="B86" i="3"/>
  <c r="B88" i="3"/>
  <c r="C48" i="3"/>
</calcChain>
</file>

<file path=xl/sharedStrings.xml><?xml version="1.0" encoding="utf-8"?>
<sst xmlns="http://schemas.openxmlformats.org/spreadsheetml/2006/main" count="259" uniqueCount="205">
  <si>
    <t>Penerimaan Bersih</t>
  </si>
  <si>
    <t>Harga Pokok Penjualan</t>
  </si>
  <si>
    <t>Biaya Pajak</t>
  </si>
  <si>
    <t>Nama Produk</t>
  </si>
  <si>
    <t>Harga Jual Per Unit</t>
  </si>
  <si>
    <t>Jumlah</t>
  </si>
  <si>
    <t>Total Penerimaa Bersih</t>
  </si>
  <si>
    <t>PENERIMAAN BERSIH</t>
  </si>
  <si>
    <t>No</t>
  </si>
  <si>
    <t>Tahun 1</t>
  </si>
  <si>
    <t>Tahun 2</t>
  </si>
  <si>
    <t>Tahun 3</t>
  </si>
  <si>
    <t>Total</t>
  </si>
  <si>
    <t>Kurs Rupiah per 1 USD</t>
  </si>
  <si>
    <t>StartUp</t>
  </si>
  <si>
    <t>% Contribution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</si>
  <si>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</si>
  <si>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</si>
  <si>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</si>
  <si>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</si>
  <si>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</si>
  <si>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</si>
  <si>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</si>
  <si>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</si>
  <si>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</si>
  <si>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Oktober</t>
  </si>
  <si>
    <t>November</t>
  </si>
  <si>
    <t>Desember</t>
  </si>
  <si>
    <t>% kontribusi bulanan</t>
  </si>
  <si>
    <t>Target Penjualan tahunan (unit)</t>
  </si>
  <si>
    <t>PENERIMAAN BERSIH PER TAHUN</t>
  </si>
  <si>
    <t>TARGET PENJUALAN PER BULAN (UNIT)</t>
  </si>
  <si>
    <t xml:space="preserve">HPP TOTAL </t>
  </si>
  <si>
    <t xml:space="preserve">HARGA POKOK PRODUKSI </t>
  </si>
  <si>
    <t>BIAYA TIDAK LANGSUNG</t>
  </si>
  <si>
    <t>Total Biaya Tidak Langsung</t>
  </si>
  <si>
    <t>HPP Per Unit</t>
  </si>
  <si>
    <t>BIAYA PAJAK</t>
  </si>
  <si>
    <t>September</t>
  </si>
  <si>
    <t>Ratio Kontribusi</t>
  </si>
  <si>
    <t>Kontribusi</t>
  </si>
  <si>
    <t>Perkiraan jumlah pelanggan baru pada tahun pertama</t>
  </si>
  <si>
    <t>Biaya Akuisisi Pelanggan</t>
  </si>
  <si>
    <t>Pelanggan</t>
  </si>
  <si>
    <t>AVG Gross Margin</t>
  </si>
  <si>
    <t>Perkiraan Investasi Permodalan</t>
  </si>
  <si>
    <t>Mandiri</t>
  </si>
  <si>
    <t>Pinjaman</t>
  </si>
  <si>
    <t>Bunga Pinjaman</t>
  </si>
  <si>
    <t>Depresiasi</t>
  </si>
  <si>
    <t>COGS</t>
  </si>
  <si>
    <t>Gross Profit</t>
  </si>
  <si>
    <t>Biaya Operasional</t>
  </si>
  <si>
    <t xml:space="preserve">Laba Bersih </t>
  </si>
  <si>
    <t>Pertumbuhan Pendapatan selama 36 bulan</t>
  </si>
  <si>
    <t>Payback Period</t>
  </si>
  <si>
    <t>Pelanggan baru</t>
  </si>
  <si>
    <t>Sumber Modal</t>
  </si>
  <si>
    <t>TAHUN 1</t>
  </si>
  <si>
    <t>TAHUN 2</t>
  </si>
  <si>
    <t>TAHUN 3</t>
  </si>
  <si>
    <t>TOTAL</t>
  </si>
  <si>
    <t>Total Unit Terjual Tahun 1</t>
  </si>
  <si>
    <t>unit</t>
  </si>
  <si>
    <t>EBITDA</t>
  </si>
  <si>
    <t xml:space="preserve">Pajak </t>
  </si>
  <si>
    <t xml:space="preserve">Harga Jual </t>
  </si>
  <si>
    <t>Variabel</t>
  </si>
  <si>
    <t>%</t>
  </si>
  <si>
    <t>BEP Total dalam unit</t>
  </si>
  <si>
    <t>Distribusi BEP dalam unit</t>
  </si>
  <si>
    <t>bulan</t>
  </si>
  <si>
    <t>BREAK EVEN POINT</t>
  </si>
  <si>
    <t>Revenue</t>
  </si>
  <si>
    <t>AVG</t>
  </si>
  <si>
    <t>Biaya mendapatkan 1 pelanggan baru</t>
  </si>
  <si>
    <t>Customer Acquisition Cost (CAC)</t>
  </si>
  <si>
    <t>BEP DISTRIBUTION</t>
  </si>
  <si>
    <t>Nama Usaha</t>
  </si>
  <si>
    <t>Deskripsi Usaha</t>
  </si>
  <si>
    <t>Domisili</t>
  </si>
  <si>
    <t>Cakupan</t>
  </si>
  <si>
    <t>Jumlah Karyawan</t>
  </si>
  <si>
    <t>Nama Direktur</t>
  </si>
  <si>
    <t>Model Usaha</t>
  </si>
  <si>
    <t>Harga Jual per unit</t>
  </si>
  <si>
    <t>Target Penerimaan Akumulatif selama 3 tahun</t>
  </si>
  <si>
    <t>% Kontribusi setiap tahun demi mencapai target  penerimaan akumulatif 3 tahun</t>
  </si>
  <si>
    <t>% Kontribusi Tahun 1</t>
  </si>
  <si>
    <t>% Kontribusi Tahun 2</t>
  </si>
  <si>
    <t>% Kontribusi Tahun 3</t>
  </si>
  <si>
    <t>Nilai Tukar $1</t>
  </si>
  <si>
    <t xml:space="preserve">Tarif Pajak </t>
  </si>
  <si>
    <t>Perkiraan peningkatan Biaya Tahun kedua</t>
  </si>
  <si>
    <t>Perkiraan Peningkatan Biaya Tahun Ketiga</t>
  </si>
  <si>
    <t>Link Website</t>
  </si>
  <si>
    <t>% Kontribusi</t>
  </si>
  <si>
    <t>Rerata per bulan</t>
  </si>
  <si>
    <t>NAMA BIAYA LANGSUNG</t>
  </si>
  <si>
    <t>NAMA BIAYA TIDAK LANGSUNG</t>
  </si>
  <si>
    <t>Total Biaya Langsung</t>
  </si>
  <si>
    <t>Keuntungan Kotor per unit</t>
  </si>
  <si>
    <t>Data hanya untuk simulasi semata dan tidak menggambarkan kondisi keuangan perusahaan sesungguhnya. Model simulasi dibuat oleh Dr.Dion Dewa Barata untuk Wadhwani Foundation Indonesia</t>
  </si>
  <si>
    <t>TARGET PENJUALAN TAHUN PERTAMA</t>
  </si>
  <si>
    <t>Unit</t>
  </si>
  <si>
    <t>POTENSI PENDAPATAN</t>
  </si>
  <si>
    <t>Tahun Pertama</t>
  </si>
  <si>
    <t>Tahun Kedua</t>
  </si>
  <si>
    <t>Tahun Ketiga</t>
  </si>
  <si>
    <t xml:space="preserve">Akumulatif Tiga Tahun </t>
  </si>
  <si>
    <t>1. DESKRIPSI USAHA</t>
  </si>
  <si>
    <t>2. SUMBER PERMODALAN</t>
  </si>
  <si>
    <t>3. TARGET USAHA</t>
  </si>
  <si>
    <t>4. ASUMSI-ASUMSI</t>
  </si>
  <si>
    <t>5.PRODUK/JASA/LAYANAN</t>
  </si>
  <si>
    <t xml:space="preserve">7. % KONTRIBUSI </t>
  </si>
  <si>
    <t>PENERIMAAN (BULAN)</t>
  </si>
  <si>
    <t>8.BIAYA TIDAK LANGSUNG</t>
  </si>
  <si>
    <t>9. Dibuat oleh</t>
  </si>
  <si>
    <t>Wealth Allocation Data Set</t>
  </si>
  <si>
    <t>HPP</t>
  </si>
  <si>
    <t>Biaya Akuisisi Konsumen</t>
  </si>
  <si>
    <t>Biaya Gaji</t>
  </si>
  <si>
    <t>Biaya Overhead</t>
  </si>
  <si>
    <t>Biaya Bunga</t>
  </si>
  <si>
    <t>Laba</t>
  </si>
  <si>
    <t>Q1 Tahun 1</t>
  </si>
  <si>
    <t>Q2 Tahun 2</t>
  </si>
  <si>
    <t>Q2 Tahun 1</t>
  </si>
  <si>
    <t>Q3 Tahun 3</t>
  </si>
  <si>
    <t>Q4 Tahun 1</t>
  </si>
  <si>
    <t>Q3 Tahun 1</t>
  </si>
  <si>
    <t>Q1 Tahun 2</t>
  </si>
  <si>
    <t>Q3 Tahun 2</t>
  </si>
  <si>
    <t>Q4 Tahun 2</t>
  </si>
  <si>
    <t>Q1 Tahun 3</t>
  </si>
  <si>
    <t>Q2 Tahun 3</t>
  </si>
  <si>
    <t>Q4 Tahun 3</t>
  </si>
  <si>
    <t>Penerimaan</t>
  </si>
  <si>
    <t>Keuntungan</t>
  </si>
  <si>
    <t>BREAK EVEN POINT (dalam unit)</t>
  </si>
  <si>
    <t>BEP per Tahun</t>
  </si>
  <si>
    <t xml:space="preserve">Kontribusi </t>
  </si>
  <si>
    <t>≈</t>
  </si>
  <si>
    <t>PERIODE PENGEMBALIAN DALAM BULAN</t>
  </si>
  <si>
    <t>EBITDA TAHUN PERTAMA</t>
  </si>
  <si>
    <t>PERTUMBUHAN PENDAPATAN</t>
  </si>
  <si>
    <t xml:space="preserve">GROSS PROFIT </t>
  </si>
  <si>
    <t>Customer Acquisition Cost</t>
  </si>
  <si>
    <t>AVG Profit Margin</t>
  </si>
  <si>
    <t>REKAPITULASI ARUS KAS</t>
  </si>
  <si>
    <t>Lokal</t>
  </si>
  <si>
    <t>Regional</t>
  </si>
  <si>
    <t>Nasional</t>
  </si>
  <si>
    <t>Internasional</t>
  </si>
  <si>
    <t>B2C</t>
  </si>
  <si>
    <t>B2B</t>
  </si>
  <si>
    <t>&lt;3 orang</t>
  </si>
  <si>
    <t>3-5 orang</t>
  </si>
  <si>
    <t>6-10 orang</t>
  </si>
  <si>
    <t>&gt;10 orang</t>
  </si>
  <si>
    <t>Team</t>
  </si>
  <si>
    <t>Bank</t>
  </si>
  <si>
    <t>Hibah</t>
  </si>
  <si>
    <t>Non Bank</t>
  </si>
  <si>
    <t>Angel</t>
  </si>
  <si>
    <t>VC</t>
  </si>
  <si>
    <t>Investasi Modal</t>
  </si>
  <si>
    <t>Pengguna</t>
  </si>
  <si>
    <t>BIAYA AKUISISI PEMBELI BARU/CAC</t>
  </si>
  <si>
    <t>Pembeli Tahun 1</t>
  </si>
  <si>
    <t>Pinjaman Modal</t>
  </si>
  <si>
    <t>Amortisasi</t>
  </si>
  <si>
    <t>Pendapatan Kotor (EBITDA)</t>
  </si>
  <si>
    <t>PROYEKSI ARUS KAS (TAHUN 1)</t>
  </si>
  <si>
    <t>PROYEKSI ARUS KAS (TAHUN 2)</t>
  </si>
  <si>
    <t>PROYEKSI ARUS KAS (TAHUN 3)</t>
  </si>
  <si>
    <t>Amortisasi Asset Non Fisik</t>
  </si>
  <si>
    <t>Depresiasi Asset Fisik</t>
  </si>
  <si>
    <t>Peningkatan Biaya tahun 2</t>
  </si>
  <si>
    <t>Peningkatan Biaya tahun 3</t>
  </si>
  <si>
    <t>7. Bunga Pinjaman</t>
  </si>
  <si>
    <t>8. Asset Non Fisik</t>
  </si>
  <si>
    <t>9. Asst Fisik</t>
  </si>
  <si>
    <t>(36 bulan)</t>
  </si>
  <si>
    <t>6.BIAYA LANGSUNG PER UNIT</t>
  </si>
  <si>
    <t>OKTOBER</t>
  </si>
  <si>
    <t>NOVEMBER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</si>
  <si>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</si>
  <si>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</si>
  <si>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</si>
  <si>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</si>
  <si>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</si>
  <si>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</si>
  <si>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</si>
  <si>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</si>
  <si>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</si>
  <si>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DESEMBER</t>
  </si>
  <si>
    <t>BERFOKUS PADA PENGEMBANGAN KEWIRAUSAHAAN</t>
  </si>
  <si>
    <t>[NAMA USAHA ANDA]</t>
  </si>
  <si>
    <t>[INDUSTRI USAHA ANDA]</t>
  </si>
  <si>
    <t>[DOMISILI USAHA]</t>
  </si>
  <si>
    <t>[NAMA DIREKTUR]</t>
  </si>
  <si>
    <t>[TANGGAL]</t>
  </si>
  <si>
    <t>[LINK WEBSITE]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</si>
</sst>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_-;\-* #,##0_-;_-* &quot;-&quot;_-;_-@_-"/>
    <numFmt numFmtId="166" formatCode="&quot;Rp&quot;#,##0"/>
    <numFmt numFmtId="167" formatCode="&quot;$&quot;#,##0.00"/>
    <numFmt numFmtId="168" formatCode="_([$IDR]\ * #,##0.00_);_([$IDR]\ * \(#,##0.00\);_([$IDR]\ * &quot;-&quot;??_);_(@_)"/>
    <numFmt numFmtId="169" formatCode="_([$IDR]\ * #,##0_);_([$IDR]\ * \(#,##0\);_([$IDR]\ * &quot;-&quot;??_);_(@_)"/>
    <numFmt numFmtId="170" formatCode="_(* #,##0_);_(* \(#,##0\);_(* &quot;-&quot;??_);_(@_)"/>
    <numFmt numFmtId="171" formatCode="_([$$-409]* #,##0_);_([$$-409]* \(#,##0\);_([$$-409]* &quot;-&quot;??_);_(@_)"/>
    <numFmt numFmtId="172" formatCode="_(&quot;$&quot;* #,##0_);_(&quot;$&quot;* \(#,##0\);_(&quot;$&quot;* &quot;-&quot;??_);_(@_)"/>
    <numFmt numFmtId="173" formatCode="[$IDR]\ #,##0.00"/>
    <numFmt numFmtId="174" formatCode="[$IDR]\ #,##0"/>
    <numFmt numFmtId="175" formatCode="_-[$IDR]\ * #,##0_-;\-[$IDR]\ * #,##0_-;_-[$IDR]\ 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i/>
      <sz val="7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21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Fo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6" fontId="0" fillId="0" borderId="0" xfId="0" applyNumberFormat="1"/>
    <xf numFmtId="0" fontId="0" fillId="0" borderId="1" xfId="0" applyBorder="1"/>
    <xf numFmtId="166" fontId="0" fillId="0" borderId="1" xfId="1" applyNumberFormat="1" applyFont="1" applyBorder="1"/>
    <xf numFmtId="165" fontId="0" fillId="0" borderId="0" xfId="0" applyNumberFormat="1"/>
    <xf numFmtId="9" fontId="0" fillId="0" borderId="1" xfId="2" applyFont="1" applyBorder="1"/>
    <xf numFmtId="9" fontId="0" fillId="0" borderId="1" xfId="2" applyFont="1" applyBorder="1" applyAlignment="1">
      <alignment horizontal="center"/>
    </xf>
    <xf numFmtId="0" fontId="0" fillId="4" borderId="0" xfId="0" applyFill="1"/>
    <xf numFmtId="1" fontId="0" fillId="0" borderId="1" xfId="0" applyNumberFormat="1" applyBorder="1" applyAlignment="1">
      <alignment horizontal="center"/>
    </xf>
    <xf numFmtId="165" fontId="0" fillId="0" borderId="1" xfId="1" applyFont="1" applyBorder="1" applyAlignment="1"/>
    <xf numFmtId="0" fontId="1" fillId="0" borderId="0" xfId="0" applyFont="1" applyAlignment="1">
      <alignment horizontal="center" vertical="top"/>
    </xf>
    <xf numFmtId="165" fontId="1" fillId="0" borderId="1" xfId="1" applyFont="1" applyFill="1" applyBorder="1" applyAlignment="1">
      <alignment horizontal="left" vertical="top"/>
    </xf>
    <xf numFmtId="0" fontId="0" fillId="4" borderId="1" xfId="0" applyFill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0" fillId="4" borderId="0" xfId="0" applyNumberFormat="1" applyFill="1"/>
    <xf numFmtId="9" fontId="0" fillId="0" borderId="0" xfId="2" applyFont="1" applyAlignment="1">
      <alignment horizontal="center"/>
    </xf>
    <xf numFmtId="9" fontId="0" fillId="4" borderId="0" xfId="2" applyFont="1" applyFill="1" applyAlignment="1">
      <alignment horizontal="center"/>
    </xf>
    <xf numFmtId="9" fontId="0" fillId="4" borderId="1" xfId="0" applyNumberFormat="1" applyFill="1" applyBorder="1"/>
    <xf numFmtId="165" fontId="0" fillId="0" borderId="1" xfId="0" applyNumberFormat="1" applyBorder="1"/>
    <xf numFmtId="166" fontId="0" fillId="0" borderId="1" xfId="0" applyNumberFormat="1" applyBorder="1"/>
    <xf numFmtId="9" fontId="0" fillId="0" borderId="0" xfId="2" applyFon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166" fontId="0" fillId="4" borderId="1" xfId="1" applyNumberFormat="1" applyFont="1" applyFill="1" applyBorder="1" applyAlignment="1">
      <alignment wrapText="1"/>
    </xf>
    <xf numFmtId="9" fontId="0" fillId="4" borderId="1" xfId="2" applyFont="1" applyFill="1" applyBorder="1" applyAlignment="1">
      <alignment horizontal="center" wrapText="1"/>
    </xf>
    <xf numFmtId="165" fontId="0" fillId="0" borderId="1" xfId="1" applyFont="1" applyBorder="1" applyAlignment="1">
      <alignment wrapText="1"/>
    </xf>
    <xf numFmtId="166" fontId="0" fillId="0" borderId="1" xfId="1" applyNumberFormat="1" applyFont="1" applyBorder="1" applyAlignment="1">
      <alignment wrapText="1"/>
    </xf>
    <xf numFmtId="0" fontId="0" fillId="4" borderId="0" xfId="0" applyFill="1" applyAlignment="1">
      <alignment horizontal="center" wrapText="1"/>
    </xf>
    <xf numFmtId="165" fontId="3" fillId="0" borderId="1" xfId="0" applyNumberFormat="1" applyFont="1" applyBorder="1"/>
    <xf numFmtId="165" fontId="3" fillId="4" borderId="1" xfId="1" applyFont="1" applyFill="1" applyBorder="1"/>
    <xf numFmtId="165" fontId="4" fillId="0" borderId="0" xfId="0" applyNumberFormat="1" applyFont="1" applyAlignment="1">
      <alignment horizontal="center" vertical="top"/>
    </xf>
    <xf numFmtId="165" fontId="3" fillId="0" borderId="0" xfId="1" applyFont="1"/>
    <xf numFmtId="165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 wrapText="1"/>
    </xf>
    <xf numFmtId="165" fontId="0" fillId="0" borderId="1" xfId="1" applyFont="1" applyBorder="1" applyAlignment="1">
      <alignment horizontal="center" wrapText="1"/>
    </xf>
    <xf numFmtId="165" fontId="0" fillId="0" borderId="1" xfId="1" applyFont="1" applyBorder="1"/>
    <xf numFmtId="0" fontId="0" fillId="2" borderId="1" xfId="0" applyFill="1" applyBorder="1" applyAlignment="1">
      <alignment horizontal="left" wrapText="1"/>
    </xf>
    <xf numFmtId="165" fontId="0" fillId="0" borderId="1" xfId="0" applyNumberFormat="1" applyBorder="1" applyAlignment="1">
      <alignment horizontal="center" wrapText="1"/>
    </xf>
    <xf numFmtId="166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 wrapText="1"/>
    </xf>
    <xf numFmtId="166" fontId="3" fillId="4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0" fillId="2" borderId="1" xfId="0" applyFill="1" applyBorder="1"/>
    <xf numFmtId="1" fontId="0" fillId="0" borderId="1" xfId="0" applyNumberFormat="1" applyBorder="1" applyAlignment="1">
      <alignment horizontal="center" wrapText="1"/>
    </xf>
    <xf numFmtId="166" fontId="3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3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166" fontId="3" fillId="0" borderId="1" xfId="1" applyNumberFormat="1" applyFont="1" applyBorder="1"/>
    <xf numFmtId="166" fontId="3" fillId="4" borderId="1" xfId="0" applyNumberFormat="1" applyFont="1" applyFill="1" applyBorder="1" applyAlignment="1">
      <alignment horizontal="center" wrapText="1"/>
    </xf>
    <xf numFmtId="166" fontId="3" fillId="4" borderId="1" xfId="0" applyNumberFormat="1" applyFont="1" applyFill="1" applyBorder="1" applyAlignment="1">
      <alignment wrapText="1"/>
    </xf>
    <xf numFmtId="166" fontId="3" fillId="0" borderId="1" xfId="0" applyNumberFormat="1" applyFont="1" applyBorder="1" applyAlignment="1">
      <alignment wrapText="1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9" fontId="5" fillId="0" borderId="0" xfId="2" applyFont="1" applyBorder="1" applyAlignment="1"/>
    <xf numFmtId="0" fontId="5" fillId="0" borderId="0" xfId="0" applyFont="1" applyAlignment="1">
      <alignment horizontal="center"/>
    </xf>
    <xf numFmtId="9" fontId="5" fillId="0" borderId="0" xfId="0" applyNumberFormat="1" applyFont="1"/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167" fontId="0" fillId="0" borderId="1" xfId="0" applyNumberFormat="1" applyBorder="1"/>
    <xf numFmtId="9" fontId="5" fillId="0" borderId="0" xfId="2" applyFon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169" fontId="5" fillId="0" borderId="1" xfId="0" applyNumberFormat="1" applyFont="1" applyBorder="1"/>
    <xf numFmtId="169" fontId="6" fillId="0" borderId="1" xfId="0" applyNumberFormat="1" applyFont="1" applyBorder="1"/>
    <xf numFmtId="169" fontId="0" fillId="0" borderId="0" xfId="4" applyNumberFormat="1" applyFont="1" applyAlignment="1">
      <alignment horizontal="center"/>
    </xf>
    <xf numFmtId="0" fontId="0" fillId="0" borderId="0" xfId="0" applyAlignment="1">
      <alignment horizontal="right"/>
    </xf>
    <xf numFmtId="170" fontId="0" fillId="0" borderId="0" xfId="3" applyNumberFormat="1" applyFont="1" applyAlignment="1">
      <alignment horizontal="right"/>
    </xf>
    <xf numFmtId="165" fontId="0" fillId="0" borderId="0" xfId="0" applyNumberFormat="1" applyAlignment="1">
      <alignment horizontal="center" wrapText="1"/>
    </xf>
    <xf numFmtId="9" fontId="3" fillId="0" borderId="0" xfId="2" applyFont="1" applyAlignment="1">
      <alignment horizontal="center" wrapText="1"/>
    </xf>
    <xf numFmtId="165" fontId="4" fillId="0" borderId="1" xfId="0" applyNumberFormat="1" applyFont="1" applyBorder="1" applyAlignment="1">
      <alignment horizontal="center" vertical="top"/>
    </xf>
    <xf numFmtId="165" fontId="3" fillId="0" borderId="1" xfId="1" applyFont="1" applyBorder="1"/>
    <xf numFmtId="0" fontId="1" fillId="8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/>
    </xf>
    <xf numFmtId="165" fontId="1" fillId="10" borderId="1" xfId="1" applyFont="1" applyFill="1" applyBorder="1" applyAlignment="1">
      <alignment horizontal="left" vertical="top"/>
    </xf>
    <xf numFmtId="165" fontId="1" fillId="11" borderId="1" xfId="1" applyFont="1" applyFill="1" applyBorder="1" applyAlignment="1">
      <alignment horizontal="left" vertical="top"/>
    </xf>
    <xf numFmtId="0" fontId="1" fillId="12" borderId="1" xfId="0" applyFont="1" applyFill="1" applyBorder="1" applyAlignment="1">
      <alignment horizontal="left" vertical="top"/>
    </xf>
    <xf numFmtId="0" fontId="0" fillId="0" borderId="8" xfId="0" applyBorder="1" applyAlignment="1">
      <alignment wrapText="1"/>
    </xf>
    <xf numFmtId="0" fontId="6" fillId="0" borderId="1" xfId="0" applyFont="1" applyBorder="1"/>
    <xf numFmtId="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5" fillId="14" borderId="1" xfId="0" applyFont="1" applyFill="1" applyBorder="1" applyAlignment="1" applyProtection="1">
      <alignment horizontal="left"/>
      <protection locked="0"/>
    </xf>
    <xf numFmtId="169" fontId="5" fillId="14" borderId="1" xfId="0" applyNumberFormat="1" applyFont="1" applyFill="1" applyBorder="1" applyProtection="1">
      <protection locked="0"/>
    </xf>
    <xf numFmtId="0" fontId="5" fillId="14" borderId="1" xfId="0" applyFont="1" applyFill="1" applyBorder="1" applyProtection="1">
      <protection locked="0"/>
    </xf>
    <xf numFmtId="9" fontId="5" fillId="14" borderId="1" xfId="2" applyFont="1" applyFill="1" applyBorder="1" applyProtection="1">
      <protection locked="0"/>
    </xf>
    <xf numFmtId="168" fontId="5" fillId="14" borderId="1" xfId="2" applyNumberFormat="1" applyFont="1" applyFill="1" applyBorder="1" applyProtection="1">
      <protection locked="0"/>
    </xf>
    <xf numFmtId="0" fontId="5" fillId="14" borderId="1" xfId="0" applyFont="1" applyFill="1" applyBorder="1" applyAlignment="1" applyProtection="1">
      <alignment horizontal="left" wrapText="1"/>
      <protection locked="0"/>
    </xf>
    <xf numFmtId="9" fontId="5" fillId="14" borderId="1" xfId="2" applyFont="1" applyFill="1" applyBorder="1" applyAlignment="1" applyProtection="1">
      <alignment horizontal="center"/>
      <protection locked="0"/>
    </xf>
    <xf numFmtId="0" fontId="5" fillId="14" borderId="1" xfId="0" applyFont="1" applyFill="1" applyBorder="1" applyAlignment="1" applyProtection="1">
      <alignment wrapText="1"/>
      <protection locked="0"/>
    </xf>
    <xf numFmtId="0" fontId="5" fillId="14" borderId="1" xfId="0" applyFont="1" applyFill="1" applyBorder="1" applyAlignment="1" applyProtection="1">
      <alignment horizontal="center"/>
      <protection locked="0"/>
    </xf>
    <xf numFmtId="9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9" fontId="5" fillId="14" borderId="1" xfId="0" applyNumberFormat="1" applyFont="1" applyFill="1" applyBorder="1" applyAlignment="1" applyProtection="1">
      <alignment horizontal="center"/>
      <protection locked="0"/>
    </xf>
    <xf numFmtId="0" fontId="5" fillId="15" borderId="0" xfId="0" applyFont="1" applyFill="1" applyAlignment="1">
      <alignment horizontal="center"/>
    </xf>
    <xf numFmtId="0" fontId="5" fillId="15" borderId="0" xfId="0" applyFont="1" applyFill="1"/>
    <xf numFmtId="0" fontId="6" fillId="15" borderId="1" xfId="0" applyFont="1" applyFill="1" applyBorder="1"/>
    <xf numFmtId="0" fontId="5" fillId="16" borderId="1" xfId="0" applyFont="1" applyFill="1" applyBorder="1"/>
    <xf numFmtId="0" fontId="6" fillId="16" borderId="1" xfId="0" applyFont="1" applyFill="1" applyBorder="1" applyAlignment="1">
      <alignment horizontal="center"/>
    </xf>
    <xf numFmtId="0" fontId="6" fillId="16" borderId="1" xfId="0" applyFont="1" applyFill="1" applyBorder="1"/>
    <xf numFmtId="1" fontId="5" fillId="16" borderId="1" xfId="0" applyNumberFormat="1" applyFont="1" applyFill="1" applyBorder="1" applyAlignment="1">
      <alignment horizontal="center"/>
    </xf>
    <xf numFmtId="174" fontId="3" fillId="16" borderId="1" xfId="3" applyNumberFormat="1" applyFont="1" applyFill="1" applyBorder="1"/>
    <xf numFmtId="0" fontId="8" fillId="16" borderId="1" xfId="0" applyFont="1" applyFill="1" applyBorder="1" applyAlignment="1">
      <alignment horizontal="center"/>
    </xf>
    <xf numFmtId="172" fontId="5" fillId="16" borderId="1" xfId="4" applyNumberFormat="1" applyFont="1" applyFill="1" applyBorder="1"/>
    <xf numFmtId="0" fontId="5" fillId="16" borderId="1" xfId="0" applyFont="1" applyFill="1" applyBorder="1" applyAlignment="1">
      <alignment horizontal="left"/>
    </xf>
    <xf numFmtId="170" fontId="5" fillId="16" borderId="1" xfId="3" applyNumberFormat="1" applyFont="1" applyFill="1" applyBorder="1"/>
    <xf numFmtId="0" fontId="6" fillId="0" borderId="2" xfId="0" applyFont="1" applyBorder="1" applyAlignment="1">
      <alignment horizontal="left"/>
    </xf>
    <xf numFmtId="9" fontId="3" fillId="0" borderId="1" xfId="0" applyNumberFormat="1" applyFont="1" applyBorder="1" applyAlignment="1">
      <alignment horizontal="center"/>
    </xf>
    <xf numFmtId="165" fontId="3" fillId="17" borderId="1" xfId="1" applyFont="1" applyFill="1" applyBorder="1"/>
    <xf numFmtId="165" fontId="0" fillId="4" borderId="1" xfId="0" applyNumberFormat="1" applyFill="1" applyBorder="1"/>
    <xf numFmtId="165" fontId="0" fillId="4" borderId="1" xfId="1" applyFont="1" applyFill="1" applyBorder="1"/>
    <xf numFmtId="165" fontId="0" fillId="17" borderId="1" xfId="1" applyFont="1" applyFill="1" applyBorder="1"/>
    <xf numFmtId="175" fontId="5" fillId="14" borderId="1" xfId="5" applyNumberFormat="1" applyFont="1" applyFill="1" applyBorder="1" applyProtection="1">
      <protection locked="0"/>
    </xf>
    <xf numFmtId="0" fontId="0" fillId="0" borderId="6" xfId="0" applyBorder="1" applyAlignment="1">
      <alignment wrapText="1"/>
    </xf>
    <xf numFmtId="9" fontId="0" fillId="0" borderId="1" xfId="0" applyNumberFormat="1" applyBorder="1"/>
    <xf numFmtId="0" fontId="6" fillId="0" borderId="0" xfId="0" applyFont="1" applyAlignment="1">
      <alignment horizontal="left"/>
    </xf>
    <xf numFmtId="0" fontId="6" fillId="0" borderId="2" xfId="0" applyFont="1" applyBorder="1"/>
    <xf numFmtId="0" fontId="6" fillId="18" borderId="1" xfId="0" applyFont="1" applyFill="1" applyBorder="1"/>
    <xf numFmtId="0" fontId="8" fillId="18" borderId="1" xfId="0" applyFont="1" applyFill="1" applyBorder="1" applyAlignment="1">
      <alignment horizontal="center"/>
    </xf>
    <xf numFmtId="172" fontId="5" fillId="18" borderId="1" xfId="4" applyNumberFormat="1" applyFont="1" applyFill="1" applyBorder="1"/>
    <xf numFmtId="0" fontId="0" fillId="19" borderId="1" xfId="0" applyFill="1" applyBorder="1" applyAlignment="1">
      <alignment horizontal="left"/>
    </xf>
    <xf numFmtId="0" fontId="5" fillId="15" borderId="0" xfId="0" applyFont="1" applyFill="1" applyAlignment="1">
      <alignment horizontal="center"/>
    </xf>
    <xf numFmtId="1" fontId="5" fillId="16" borderId="2" xfId="0" applyNumberFormat="1" applyFont="1" applyFill="1" applyBorder="1" applyAlignment="1">
      <alignment horizontal="center"/>
    </xf>
    <xf numFmtId="1" fontId="5" fillId="16" borderId="4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/>
    </xf>
    <xf numFmtId="169" fontId="5" fillId="18" borderId="1" xfId="4" applyNumberFormat="1" applyFont="1" applyFill="1" applyBorder="1" applyAlignment="1">
      <alignment horizontal="center"/>
    </xf>
    <xf numFmtId="169" fontId="5" fillId="16" borderId="1" xfId="4" applyNumberFormat="1" applyFont="1" applyFill="1" applyBorder="1" applyAlignment="1">
      <alignment horizontal="center"/>
    </xf>
    <xf numFmtId="173" fontId="5" fillId="16" borderId="1" xfId="4" applyNumberFormat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5" fillId="14" borderId="1" xfId="0" applyFont="1" applyFill="1" applyBorder="1" applyAlignment="1" applyProtection="1">
      <alignment horizontal="left"/>
      <protection locked="0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6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169" fontId="5" fillId="14" borderId="1" xfId="0" applyNumberFormat="1" applyFont="1" applyFill="1" applyBorder="1" applyAlignment="1" applyProtection="1">
      <alignment horizontal="center"/>
      <protection locked="0"/>
    </xf>
    <xf numFmtId="169" fontId="5" fillId="0" borderId="1" xfId="0" applyNumberFormat="1" applyFont="1" applyBorder="1" applyAlignment="1">
      <alignment horizontal="center"/>
    </xf>
    <xf numFmtId="171" fontId="5" fillId="0" borderId="1" xfId="4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169" fontId="5" fillId="0" borderId="3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14" borderId="2" xfId="0" applyFont="1" applyFill="1" applyBorder="1" applyAlignment="1" applyProtection="1">
      <alignment horizontal="center"/>
      <protection locked="0"/>
    </xf>
    <xf numFmtId="0" fontId="11" fillId="14" borderId="3" xfId="0" applyFont="1" applyFill="1" applyBorder="1" applyAlignment="1" applyProtection="1">
      <alignment horizontal="center"/>
      <protection locked="0"/>
    </xf>
    <xf numFmtId="0" fontId="11" fillId="14" borderId="4" xfId="0" applyFont="1" applyFill="1" applyBorder="1" applyAlignment="1" applyProtection="1">
      <alignment horizontal="center"/>
      <protection locked="0"/>
    </xf>
    <xf numFmtId="0" fontId="5" fillId="14" borderId="2" xfId="0" applyFont="1" applyFill="1" applyBorder="1" applyAlignment="1" applyProtection="1">
      <alignment horizontal="left" wrapText="1"/>
      <protection locked="0"/>
    </xf>
    <xf numFmtId="0" fontId="5" fillId="14" borderId="3" xfId="0" applyFont="1" applyFill="1" applyBorder="1" applyAlignment="1" applyProtection="1">
      <alignment horizontal="left" wrapText="1"/>
      <protection locked="0"/>
    </xf>
    <xf numFmtId="0" fontId="5" fillId="14" borderId="4" xfId="0" applyFont="1" applyFill="1" applyBorder="1" applyAlignment="1" applyProtection="1">
      <alignment horizontal="left" wrapText="1"/>
      <protection locked="0"/>
    </xf>
    <xf numFmtId="0" fontId="5" fillId="18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169" fontId="5" fillId="14" borderId="2" xfId="0" applyNumberFormat="1" applyFont="1" applyFill="1" applyBorder="1" applyAlignment="1" applyProtection="1">
      <alignment horizontal="center"/>
      <protection locked="0"/>
    </xf>
    <xf numFmtId="169" fontId="5" fillId="14" borderId="3" xfId="0" applyNumberFormat="1" applyFont="1" applyFill="1" applyBorder="1" applyAlignment="1" applyProtection="1">
      <alignment horizontal="center"/>
      <protection locked="0"/>
    </xf>
    <xf numFmtId="169" fontId="5" fillId="14" borderId="4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169" fontId="6" fillId="0" borderId="2" xfId="0" applyNumberFormat="1" applyFont="1" applyBorder="1" applyAlignment="1">
      <alignment horizontal="center"/>
    </xf>
    <xf numFmtId="169" fontId="6" fillId="0" borderId="3" xfId="0" applyNumberFormat="1" applyFont="1" applyBorder="1" applyAlignment="1">
      <alignment horizontal="center"/>
    </xf>
    <xf numFmtId="169" fontId="6" fillId="0" borderId="4" xfId="0" applyNumberFormat="1" applyFont="1" applyBorder="1" applyAlignment="1">
      <alignment horizontal="center"/>
    </xf>
    <xf numFmtId="0" fontId="14" fillId="14" borderId="1" xfId="6" applyFill="1" applyBorder="1" applyAlignment="1" applyProtection="1">
      <alignment horizontal="left"/>
      <protection locked="0"/>
    </xf>
    <xf numFmtId="0" fontId="7" fillId="5" borderId="1" xfId="0" applyFont="1" applyFill="1" applyBorder="1" applyAlignment="1">
      <alignment horizontal="center"/>
    </xf>
    <xf numFmtId="9" fontId="3" fillId="0" borderId="5" xfId="2" applyFont="1" applyBorder="1" applyAlignment="1">
      <alignment horizontal="center" vertical="center"/>
    </xf>
    <xf numFmtId="9" fontId="3" fillId="0" borderId="6" xfId="2" applyFont="1" applyBorder="1" applyAlignment="1">
      <alignment horizontal="center" vertical="center"/>
    </xf>
    <xf numFmtId="9" fontId="3" fillId="0" borderId="7" xfId="2" applyFont="1" applyBorder="1" applyAlignment="1">
      <alignment horizontal="center" vertical="center"/>
    </xf>
    <xf numFmtId="0" fontId="5" fillId="14" borderId="2" xfId="0" applyFont="1" applyFill="1" applyBorder="1" applyAlignment="1" applyProtection="1">
      <alignment horizontal="left"/>
      <protection locked="0"/>
    </xf>
    <xf numFmtId="0" fontId="5" fillId="14" borderId="3" xfId="0" applyFont="1" applyFill="1" applyBorder="1" applyAlignment="1" applyProtection="1">
      <alignment horizontal="left"/>
      <protection locked="0"/>
    </xf>
    <xf numFmtId="0" fontId="5" fillId="14" borderId="4" xfId="0" applyFont="1" applyFill="1" applyBorder="1" applyAlignment="1" applyProtection="1">
      <alignment horizontal="left"/>
      <protection locked="0"/>
    </xf>
    <xf numFmtId="0" fontId="5" fillId="16" borderId="1" xfId="0" applyFont="1" applyFill="1" applyBorder="1" applyAlignment="1">
      <alignment horizontal="center"/>
    </xf>
    <xf numFmtId="9" fontId="5" fillId="16" borderId="1" xfId="0" applyNumberFormat="1" applyFont="1" applyFill="1" applyBorder="1" applyAlignment="1">
      <alignment horizontal="center"/>
    </xf>
    <xf numFmtId="0" fontId="9" fillId="15" borderId="0" xfId="0" applyFont="1" applyFill="1" applyAlignment="1">
      <alignment horizontal="center"/>
    </xf>
    <xf numFmtId="174" fontId="5" fillId="16" borderId="1" xfId="0" applyNumberFormat="1" applyFont="1" applyFill="1" applyBorder="1" applyAlignment="1">
      <alignment horizontal="center"/>
    </xf>
    <xf numFmtId="2" fontId="5" fillId="16" borderId="1" xfId="0" applyNumberFormat="1" applyFont="1" applyFill="1" applyBorder="1" applyAlignment="1">
      <alignment horizontal="center"/>
    </xf>
    <xf numFmtId="174" fontId="3" fillId="16" borderId="1" xfId="3" applyNumberFormat="1" applyFont="1" applyFill="1" applyBorder="1" applyAlignment="1">
      <alignment horizontal="center"/>
    </xf>
    <xf numFmtId="1" fontId="5" fillId="16" borderId="1" xfId="0" applyNumberFormat="1" applyFont="1" applyFill="1" applyBorder="1" applyAlignment="1">
      <alignment horizontal="center"/>
    </xf>
    <xf numFmtId="0" fontId="10" fillId="9" borderId="2" xfId="0" applyFont="1" applyFill="1" applyBorder="1" applyAlignment="1">
      <alignment horizontal="left"/>
    </xf>
    <xf numFmtId="0" fontId="10" fillId="9" borderId="3" xfId="0" applyFont="1" applyFill="1" applyBorder="1" applyAlignment="1">
      <alignment horizontal="left"/>
    </xf>
    <xf numFmtId="0" fontId="10" fillId="9" borderId="4" xfId="0" applyFont="1" applyFill="1" applyBorder="1" applyAlignment="1">
      <alignment horizontal="left"/>
    </xf>
    <xf numFmtId="14" fontId="10" fillId="9" borderId="2" xfId="0" applyNumberFormat="1" applyFont="1" applyFill="1" applyBorder="1" applyAlignment="1">
      <alignment horizontal="center"/>
    </xf>
    <xf numFmtId="14" fontId="10" fillId="9" borderId="4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69" fontId="15" fillId="14" borderId="1" xfId="0" applyNumberFormat="1" applyFont="1" applyFill="1" applyBorder="1" applyProtection="1">
      <protection locked="0"/>
    </xf>
    <xf numFmtId="14" fontId="5" fillId="16" borderId="1" xfId="0" applyNumberFormat="1" applyFont="1" applyFill="1" applyBorder="1" applyAlignment="1" applyProtection="1">
      <alignment horizontal="center"/>
      <protection locked="0"/>
    </xf>
    <xf numFmtId="1" fontId="0" fillId="0" borderId="1" xfId="1" applyNumberFormat="1" applyFont="1" applyBorder="1" applyAlignment="1">
      <alignment wrapText="1"/>
    </xf>
  </cellXfs>
  <cellStyles count="7">
    <cellStyle name="Comma" xfId="3" builtinId="3"/>
    <cellStyle name="Comma [0]" xfId="1" builtinId="6"/>
    <cellStyle name="Currency" xfId="4" builtinId="4"/>
    <cellStyle name="Currency [0]" xfId="5" builtinId="7"/>
    <cellStyle name="Hyperlink" xfId="6" builtinId="8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3993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Distribusi</a:t>
            </a:r>
            <a:r>
              <a:rPr lang="en-US" baseline="0"/>
              <a:t> Keuangan</a:t>
            </a:r>
            <a:endParaRPr lang="en-US"/>
          </a:p>
        </c:rich>
      </c:tx>
      <c:layout>
        <c:manualLayout>
          <c:xMode val="edge"/>
          <c:yMode val="edge"/>
          <c:x val="0.58273655219383147"/>
          <c:y val="3.4859815050839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75186658795862E-2"/>
          <c:y val="3.0308825022942524E-2"/>
          <c:w val="0.4864534969113945"/>
          <c:h val="0.9515251855301574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DF-4DFF-9AB3-084FFD005C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DF-4DFF-9AB3-084FFD005C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DF-4DFF-9AB3-084FFD005C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DF-4DFF-9AB3-084FFD005C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DF-4DFF-9AB3-084FFD005C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DF-4DFF-9AB3-084FFD005C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DF-4DFF-9AB3-084FFD005C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Processing!$L$49:$L$55</c:f>
              <c:strCache>
                <c:ptCount val="7"/>
                <c:pt idx="0">
                  <c:v>HPP</c:v>
                </c:pt>
                <c:pt idx="1">
                  <c:v>Biaya Akuisisi Konsumen</c:v>
                </c:pt>
                <c:pt idx="2">
                  <c:v>Biaya Gaji</c:v>
                </c:pt>
                <c:pt idx="3">
                  <c:v>Biaya Overhead</c:v>
                </c:pt>
                <c:pt idx="4">
                  <c:v>Biaya Pajak</c:v>
                </c:pt>
                <c:pt idx="5">
                  <c:v>Biaya Bunga</c:v>
                </c:pt>
                <c:pt idx="6">
                  <c:v>Laba</c:v>
                </c:pt>
              </c:strCache>
            </c:strRef>
          </c:cat>
          <c:val>
            <c:numRef>
              <c:f>Processing!$M$49:$M$55</c:f>
              <c:numCache>
                <c:formatCode>_([$IDR]\ * #,##0_);_([$IDR]\ * \(#,##0\);_([$IDR]\ * "-"??_);_(@_)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EDF-4DFF-9AB3-084FFD005C9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997413298731717"/>
          <c:y val="0.21520720545972408"/>
          <c:w val="0.3138882470210837"/>
          <c:h val="0.686307412331224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Pertumbuhan Penerimaan dan Keuntungan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Processing!$M$58</c:f>
              <c:strCache>
                <c:ptCount val="1"/>
                <c:pt idx="0">
                  <c:v>Penerimaan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Processing!$L$59:$L$70</c:f>
              <c:strCache>
                <c:ptCount val="12"/>
                <c:pt idx="0">
                  <c:v>Q1 Tahun 1</c:v>
                </c:pt>
                <c:pt idx="1">
                  <c:v>Q2 Tahun 1</c:v>
                </c:pt>
                <c:pt idx="2">
                  <c:v>Q3 Tahun 1</c:v>
                </c:pt>
                <c:pt idx="3">
                  <c:v>Q4 Tahun 1</c:v>
                </c:pt>
                <c:pt idx="4">
                  <c:v>Q1 Tahun 2</c:v>
                </c:pt>
                <c:pt idx="5">
                  <c:v>Q2 Tahun 2</c:v>
                </c:pt>
                <c:pt idx="6">
                  <c:v>Q3 Tahun 2</c:v>
                </c:pt>
                <c:pt idx="7">
                  <c:v>Q4 Tahun 2</c:v>
                </c:pt>
                <c:pt idx="8">
                  <c:v>Q1 Tahun 3</c:v>
                </c:pt>
                <c:pt idx="9">
                  <c:v>Q2 Tahun 3</c:v>
                </c:pt>
                <c:pt idx="10">
                  <c:v>Q3 Tahun 3</c:v>
                </c:pt>
                <c:pt idx="11">
                  <c:v>Q4 Tahun 3</c:v>
                </c:pt>
              </c:strCache>
            </c:strRef>
          </c:cat>
          <c:val>
            <c:numRef>
              <c:f>Processing!$M$59:$M$70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44-4A4A-8E04-A8A750816E67}"/>
            </c:ext>
          </c:extLst>
        </c:ser>
        <c:ser>
          <c:idx val="1"/>
          <c:order val="1"/>
          <c:tx>
            <c:strRef>
              <c:f>Processing!$N$58</c:f>
              <c:strCache>
                <c:ptCount val="1"/>
                <c:pt idx="0">
                  <c:v>Keuntungan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Processing!$L$59:$L$70</c:f>
              <c:strCache>
                <c:ptCount val="12"/>
                <c:pt idx="0">
                  <c:v>Q1 Tahun 1</c:v>
                </c:pt>
                <c:pt idx="1">
                  <c:v>Q2 Tahun 1</c:v>
                </c:pt>
                <c:pt idx="2">
                  <c:v>Q3 Tahun 1</c:v>
                </c:pt>
                <c:pt idx="3">
                  <c:v>Q4 Tahun 1</c:v>
                </c:pt>
                <c:pt idx="4">
                  <c:v>Q1 Tahun 2</c:v>
                </c:pt>
                <c:pt idx="5">
                  <c:v>Q2 Tahun 2</c:v>
                </c:pt>
                <c:pt idx="6">
                  <c:v>Q3 Tahun 2</c:v>
                </c:pt>
                <c:pt idx="7">
                  <c:v>Q4 Tahun 2</c:v>
                </c:pt>
                <c:pt idx="8">
                  <c:v>Q1 Tahun 3</c:v>
                </c:pt>
                <c:pt idx="9">
                  <c:v>Q2 Tahun 3</c:v>
                </c:pt>
                <c:pt idx="10">
                  <c:v>Q3 Tahun 3</c:v>
                </c:pt>
                <c:pt idx="11">
                  <c:v>Q4 Tahun 3</c:v>
                </c:pt>
              </c:strCache>
            </c:strRef>
          </c:cat>
          <c:val>
            <c:numRef>
              <c:f>Processing!$N$59:$N$70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44-4A4A-8E04-A8A750816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2844496"/>
        <c:axId val="1107719616"/>
      </c:lineChart>
      <c:catAx>
        <c:axId val="11528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9616"/>
        <c:crosses val="autoZero"/>
        <c:auto val="1"/>
        <c:lblAlgn val="ctr"/>
        <c:lblOffset val="100"/>
        <c:noMultiLvlLbl val="0"/>
      </c:catAx>
      <c:valAx>
        <c:axId val="110771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84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43329</xdr:colOff>
      <xdr:row>44</xdr:row>
      <xdr:rowOff>152400</xdr:rowOff>
    </xdr:from>
    <xdr:to>
      <xdr:col>5</xdr:col>
      <xdr:colOff>171450</xdr:colOff>
      <xdr:row>58</xdr:row>
      <xdr:rowOff>12699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BA860742-3638-0F94-FB92-1BFB3454A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41709</xdr:colOff>
      <xdr:row>59</xdr:row>
      <xdr:rowOff>0</xdr:rowOff>
    </xdr:from>
    <xdr:to>
      <xdr:col>6</xdr:col>
      <xdr:colOff>996950</xdr:colOff>
      <xdr:row>71</xdr:row>
      <xdr:rowOff>19049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1C5BA5A0-B1CF-F400-377A-DBA4E8B36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atsusia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topLeftCell="A12" zoomScale="110" zoomScaleNormal="110" workbookViewId="0">
      <selection activeCell="G20" sqref="G20:I20"/>
    </sheetView>
  </sheetViews>
  <sheetFormatPr defaultRowHeight="13" x14ac:dyDescent="0.3"/>
  <cols>
    <col min="1" max="1" width="3.453125" style="76" customWidth="1"/>
    <col min="2" max="2" width="23.7265625" style="76" customWidth="1"/>
    <col min="3" max="3" width="15.36328125" style="73" bestFit="1" customWidth="1"/>
    <col min="4" max="4" width="15.54296875" style="73" customWidth="1"/>
    <col min="5" max="5" width="1.7265625" style="73" bestFit="1" customWidth="1"/>
    <col min="6" max="6" width="3.36328125" style="73" customWidth="1"/>
    <col min="7" max="7" width="15" style="73" customWidth="1"/>
    <col min="8" max="8" width="16.453125" style="73" customWidth="1"/>
    <col min="9" max="9" width="1.90625" style="73" bestFit="1" customWidth="1"/>
    <col min="10" max="10" width="15" style="73" customWidth="1"/>
    <col min="11" max="11" width="2.36328125" style="73" customWidth="1"/>
    <col min="12" max="12" width="12.453125" style="73" customWidth="1"/>
    <col min="13" max="13" width="4.54296875" style="73" customWidth="1"/>
    <col min="14" max="14" width="4" style="73" customWidth="1"/>
    <col min="15" max="16384" width="8.7265625" style="73"/>
  </cols>
  <sheetData>
    <row r="1" spans="1:13" x14ac:dyDescent="0.3">
      <c r="A1" s="191" t="s">
        <v>110</v>
      </c>
      <c r="B1" s="191"/>
      <c r="C1" s="191"/>
      <c r="D1" s="191"/>
      <c r="E1" s="191"/>
      <c r="F1" s="191"/>
      <c r="G1" s="191"/>
      <c r="H1" s="191"/>
      <c r="I1" s="191"/>
      <c r="J1" s="191"/>
      <c r="K1" s="170" t="s">
        <v>203</v>
      </c>
      <c r="L1" s="171"/>
      <c r="M1" s="172"/>
    </row>
    <row r="2" spans="1:13" x14ac:dyDescent="0.3">
      <c r="A2" s="82">
        <v>1</v>
      </c>
      <c r="B2" s="78" t="s">
        <v>78</v>
      </c>
      <c r="C2" s="154" t="s">
        <v>199</v>
      </c>
      <c r="D2" s="154"/>
      <c r="E2" s="100">
        <v>3</v>
      </c>
      <c r="F2" s="100" t="s">
        <v>80</v>
      </c>
      <c r="G2" s="100"/>
      <c r="H2" s="103" t="s">
        <v>201</v>
      </c>
      <c r="I2" s="100">
        <v>6</v>
      </c>
      <c r="J2" s="100" t="s">
        <v>83</v>
      </c>
      <c r="K2" s="154" t="s">
        <v>202</v>
      </c>
      <c r="L2" s="154"/>
      <c r="M2" s="154"/>
    </row>
    <row r="3" spans="1:13" x14ac:dyDescent="0.3">
      <c r="A3" s="82">
        <v>2</v>
      </c>
      <c r="B3" s="78" t="s">
        <v>79</v>
      </c>
      <c r="C3" s="154" t="s">
        <v>200</v>
      </c>
      <c r="D3" s="154"/>
      <c r="E3" s="100">
        <v>4</v>
      </c>
      <c r="F3" s="100" t="s">
        <v>81</v>
      </c>
      <c r="G3" s="100"/>
      <c r="H3" s="103" t="s">
        <v>153</v>
      </c>
      <c r="I3" s="100">
        <v>7</v>
      </c>
      <c r="J3" s="100" t="s">
        <v>82</v>
      </c>
      <c r="K3" s="154" t="s">
        <v>159</v>
      </c>
      <c r="L3" s="154"/>
      <c r="M3" s="154"/>
    </row>
    <row r="4" spans="1:13" ht="14.5" x14ac:dyDescent="0.35">
      <c r="A4" s="74"/>
      <c r="B4" s="154" t="s">
        <v>198</v>
      </c>
      <c r="C4" s="154"/>
      <c r="D4" s="154"/>
      <c r="E4" s="100">
        <v>5</v>
      </c>
      <c r="F4" s="100" t="s">
        <v>84</v>
      </c>
      <c r="G4" s="100"/>
      <c r="H4" s="103" t="s">
        <v>155</v>
      </c>
      <c r="I4" s="100">
        <v>8</v>
      </c>
      <c r="J4" s="100" t="s">
        <v>95</v>
      </c>
      <c r="K4" s="190" t="s">
        <v>204</v>
      </c>
      <c r="L4" s="154"/>
      <c r="M4" s="154"/>
    </row>
    <row r="5" spans="1:13" x14ac:dyDescent="0.3">
      <c r="B5" s="73"/>
    </row>
    <row r="6" spans="1:13" x14ac:dyDescent="0.3">
      <c r="A6" s="161" t="s">
        <v>111</v>
      </c>
      <c r="B6" s="161"/>
      <c r="C6" s="161"/>
      <c r="D6" s="161"/>
      <c r="F6" s="161" t="s">
        <v>112</v>
      </c>
      <c r="G6" s="161"/>
      <c r="H6" s="161"/>
      <c r="I6" s="161"/>
      <c r="J6" s="161"/>
      <c r="K6" s="161"/>
      <c r="L6" s="161"/>
      <c r="M6" s="161"/>
    </row>
    <row r="7" spans="1:13" x14ac:dyDescent="0.3">
      <c r="A7" s="82">
        <v>1</v>
      </c>
      <c r="B7" s="100" t="s">
        <v>167</v>
      </c>
      <c r="C7" s="104">
        <v>0</v>
      </c>
      <c r="D7" s="103" t="s">
        <v>46</v>
      </c>
      <c r="F7" s="100" t="s">
        <v>86</v>
      </c>
      <c r="G7" s="100"/>
      <c r="H7" s="100"/>
      <c r="I7" s="100"/>
      <c r="J7" s="100" t="s">
        <v>184</v>
      </c>
      <c r="K7" s="163">
        <v>0</v>
      </c>
      <c r="L7" s="163"/>
      <c r="M7" s="163"/>
    </row>
    <row r="8" spans="1:13" x14ac:dyDescent="0.3">
      <c r="A8" s="82">
        <v>2</v>
      </c>
      <c r="B8" s="100" t="s">
        <v>171</v>
      </c>
      <c r="C8" s="104">
        <v>0</v>
      </c>
      <c r="D8" s="103" t="s">
        <v>162</v>
      </c>
      <c r="F8" s="158" t="s">
        <v>87</v>
      </c>
      <c r="G8" s="159"/>
      <c r="H8" s="159"/>
      <c r="I8" s="159"/>
      <c r="J8" s="159"/>
      <c r="K8" s="159"/>
      <c r="L8" s="159"/>
      <c r="M8" s="160"/>
    </row>
    <row r="9" spans="1:13" x14ac:dyDescent="0.3">
      <c r="F9" s="100" t="s">
        <v>88</v>
      </c>
      <c r="G9" s="100"/>
      <c r="H9" s="109">
        <v>0</v>
      </c>
      <c r="I9" s="72"/>
      <c r="J9" s="192">
        <f>SUM(H9:H11)</f>
        <v>0</v>
      </c>
      <c r="K9" s="164">
        <f>K7*H9</f>
        <v>0</v>
      </c>
      <c r="L9" s="164"/>
      <c r="M9" s="164"/>
    </row>
    <row r="10" spans="1:13" x14ac:dyDescent="0.3">
      <c r="A10" s="161" t="s">
        <v>113</v>
      </c>
      <c r="B10" s="161"/>
      <c r="C10" s="161"/>
      <c r="D10" s="161"/>
      <c r="F10" s="100" t="s">
        <v>89</v>
      </c>
      <c r="G10" s="100"/>
      <c r="H10" s="109">
        <v>0</v>
      </c>
      <c r="I10" s="72"/>
      <c r="J10" s="193"/>
      <c r="K10" s="164">
        <f>K7*H10</f>
        <v>0</v>
      </c>
      <c r="L10" s="164"/>
      <c r="M10" s="164"/>
    </row>
    <row r="11" spans="1:13" x14ac:dyDescent="0.3">
      <c r="A11" s="82">
        <v>1</v>
      </c>
      <c r="B11" s="137" t="s">
        <v>170</v>
      </c>
      <c r="C11" s="111">
        <v>0</v>
      </c>
      <c r="D11" s="100" t="s">
        <v>181</v>
      </c>
      <c r="F11" s="100" t="s">
        <v>90</v>
      </c>
      <c r="G11" s="100"/>
      <c r="H11" s="109">
        <v>0</v>
      </c>
      <c r="I11" s="72"/>
      <c r="J11" s="194"/>
      <c r="K11" s="164">
        <f>K7*H11</f>
        <v>0</v>
      </c>
      <c r="L11" s="164"/>
      <c r="M11" s="164"/>
    </row>
    <row r="12" spans="1:13" x14ac:dyDescent="0.3">
      <c r="A12" s="82">
        <v>2</v>
      </c>
      <c r="B12" s="127" t="s">
        <v>92</v>
      </c>
      <c r="C12" s="109">
        <v>0</v>
      </c>
      <c r="D12" s="109">
        <v>0</v>
      </c>
      <c r="F12" s="100" t="s">
        <v>91</v>
      </c>
      <c r="G12" s="100"/>
      <c r="H12" s="72"/>
      <c r="I12" s="72"/>
      <c r="J12" s="107">
        <v>0</v>
      </c>
      <c r="K12" s="165" t="e">
        <f>K7/J12</f>
        <v>#DIV/0!</v>
      </c>
      <c r="L12" s="165"/>
      <c r="M12" s="165"/>
    </row>
    <row r="13" spans="1:13" x14ac:dyDescent="0.3">
      <c r="A13" s="82">
        <v>3</v>
      </c>
      <c r="B13" s="127" t="s">
        <v>179</v>
      </c>
      <c r="C13" s="114">
        <v>0</v>
      </c>
      <c r="D13" s="100" t="s">
        <v>182</v>
      </c>
    </row>
    <row r="14" spans="1:13" x14ac:dyDescent="0.3">
      <c r="A14" s="82">
        <v>4</v>
      </c>
      <c r="B14" s="136" t="s">
        <v>180</v>
      </c>
      <c r="C14" s="109">
        <v>0</v>
      </c>
      <c r="D14" s="133">
        <v>0</v>
      </c>
      <c r="F14" s="162" t="s">
        <v>117</v>
      </c>
      <c r="G14" s="162"/>
      <c r="H14" s="162"/>
      <c r="I14" s="162"/>
      <c r="J14" s="162"/>
      <c r="L14" s="177" t="s">
        <v>115</v>
      </c>
      <c r="M14" s="177"/>
    </row>
    <row r="15" spans="1:13" x14ac:dyDescent="0.3">
      <c r="A15" s="82">
        <v>5</v>
      </c>
      <c r="B15" s="127" t="s">
        <v>177</v>
      </c>
      <c r="C15" s="114">
        <v>0</v>
      </c>
      <c r="D15" s="100" t="s">
        <v>183</v>
      </c>
      <c r="E15" s="81"/>
      <c r="F15" s="82" t="s">
        <v>8</v>
      </c>
      <c r="G15" s="158" t="s">
        <v>99</v>
      </c>
      <c r="H15" s="159"/>
      <c r="I15" s="160"/>
      <c r="J15" s="100" t="s">
        <v>97</v>
      </c>
      <c r="K15" s="81"/>
      <c r="L15" s="177" t="s">
        <v>116</v>
      </c>
      <c r="M15" s="177"/>
    </row>
    <row r="16" spans="1:13" x14ac:dyDescent="0.3">
      <c r="A16" s="82">
        <v>6</v>
      </c>
      <c r="B16" s="127" t="s">
        <v>178</v>
      </c>
      <c r="C16" s="109">
        <v>0</v>
      </c>
      <c r="D16" s="133">
        <v>0</v>
      </c>
      <c r="F16" s="74">
        <v>1</v>
      </c>
      <c r="G16" s="178" t="s">
        <v>42</v>
      </c>
      <c r="H16" s="179"/>
      <c r="I16" s="180"/>
      <c r="J16" s="104">
        <v>0</v>
      </c>
      <c r="L16" s="106" t="s">
        <v>188</v>
      </c>
      <c r="M16" s="109">
        <v>0</v>
      </c>
    </row>
    <row r="17" spans="1:13" x14ac:dyDescent="0.3">
      <c r="B17" s="73"/>
      <c r="F17" s="74">
        <v>2</v>
      </c>
      <c r="G17" s="178" t="s">
        <v>122</v>
      </c>
      <c r="H17" s="179"/>
      <c r="I17" s="180"/>
      <c r="J17" s="104">
        <v>0</v>
      </c>
      <c r="L17" s="105" t="s">
        <v>189</v>
      </c>
      <c r="M17" s="109">
        <v>0</v>
      </c>
    </row>
    <row r="18" spans="1:13" x14ac:dyDescent="0.3">
      <c r="A18" s="162" t="s">
        <v>114</v>
      </c>
      <c r="B18" s="162"/>
      <c r="C18" s="162"/>
      <c r="D18" s="162"/>
      <c r="F18" s="74">
        <v>3</v>
      </c>
      <c r="G18" s="173"/>
      <c r="H18" s="174"/>
      <c r="I18" s="175"/>
      <c r="J18" s="104">
        <v>0</v>
      </c>
      <c r="L18" s="105" t="s">
        <v>190</v>
      </c>
      <c r="M18" s="109">
        <v>0</v>
      </c>
    </row>
    <row r="19" spans="1:13" x14ac:dyDescent="0.3">
      <c r="A19" s="158" t="s">
        <v>3</v>
      </c>
      <c r="B19" s="160"/>
      <c r="C19" s="100" t="s">
        <v>85</v>
      </c>
      <c r="D19" s="82" t="s">
        <v>96</v>
      </c>
      <c r="F19" s="74">
        <v>4</v>
      </c>
      <c r="G19" s="173"/>
      <c r="H19" s="174"/>
      <c r="I19" s="175"/>
      <c r="J19" s="104">
        <v>0</v>
      </c>
      <c r="L19" s="105" t="s">
        <v>191</v>
      </c>
      <c r="M19" s="109">
        <v>0</v>
      </c>
    </row>
    <row r="20" spans="1:13" x14ac:dyDescent="0.3">
      <c r="A20" s="74">
        <v>1</v>
      </c>
      <c r="B20" s="108"/>
      <c r="C20" s="104">
        <v>0</v>
      </c>
      <c r="D20" s="109">
        <v>0</v>
      </c>
      <c r="E20" s="75"/>
      <c r="F20" s="74">
        <v>5</v>
      </c>
      <c r="G20" s="173"/>
      <c r="H20" s="174"/>
      <c r="I20" s="175"/>
      <c r="J20" s="218">
        <v>0</v>
      </c>
      <c r="L20" s="105" t="s">
        <v>192</v>
      </c>
      <c r="M20" s="109">
        <v>0</v>
      </c>
    </row>
    <row r="21" spans="1:13" x14ac:dyDescent="0.3">
      <c r="A21" s="74">
        <v>2</v>
      </c>
      <c r="B21" s="108"/>
      <c r="C21" s="104">
        <v>0</v>
      </c>
      <c r="D21" s="109">
        <v>0</v>
      </c>
      <c r="E21" s="75"/>
      <c r="F21" s="74">
        <v>6</v>
      </c>
      <c r="G21" s="173"/>
      <c r="H21" s="174"/>
      <c r="I21" s="175"/>
      <c r="J21" s="104">
        <v>0</v>
      </c>
      <c r="L21" s="105" t="s">
        <v>193</v>
      </c>
      <c r="M21" s="109">
        <v>0</v>
      </c>
    </row>
    <row r="22" spans="1:13" x14ac:dyDescent="0.3">
      <c r="A22" s="74">
        <v>3</v>
      </c>
      <c r="B22" s="108"/>
      <c r="C22" s="104">
        <v>0</v>
      </c>
      <c r="D22" s="109">
        <v>0</v>
      </c>
      <c r="E22" s="75"/>
      <c r="F22" s="74">
        <v>7</v>
      </c>
      <c r="G22" s="173"/>
      <c r="H22" s="174"/>
      <c r="I22" s="175"/>
      <c r="J22" s="104">
        <v>0</v>
      </c>
      <c r="L22" s="105" t="s">
        <v>194</v>
      </c>
      <c r="M22" s="109">
        <v>0</v>
      </c>
    </row>
    <row r="23" spans="1:13" x14ac:dyDescent="0.3">
      <c r="A23" s="74">
        <v>4</v>
      </c>
      <c r="B23" s="108"/>
      <c r="C23" s="104">
        <v>0</v>
      </c>
      <c r="D23" s="109">
        <v>0</v>
      </c>
      <c r="E23" s="75"/>
      <c r="F23" s="74">
        <v>8</v>
      </c>
      <c r="G23" s="173"/>
      <c r="H23" s="174"/>
      <c r="I23" s="175"/>
      <c r="J23" s="104">
        <v>0</v>
      </c>
      <c r="L23" s="105" t="s">
        <v>195</v>
      </c>
      <c r="M23" s="109">
        <v>0</v>
      </c>
    </row>
    <row r="24" spans="1:13" x14ac:dyDescent="0.3">
      <c r="A24" s="74">
        <v>5</v>
      </c>
      <c r="B24" s="108"/>
      <c r="C24" s="104">
        <v>0</v>
      </c>
      <c r="D24" s="109">
        <v>0</v>
      </c>
      <c r="E24" s="75"/>
      <c r="F24" s="74">
        <v>9</v>
      </c>
      <c r="G24" s="195"/>
      <c r="H24" s="196"/>
      <c r="I24" s="197"/>
      <c r="J24" s="104">
        <v>0</v>
      </c>
      <c r="L24" s="105" t="s">
        <v>196</v>
      </c>
      <c r="M24" s="109">
        <v>0</v>
      </c>
    </row>
    <row r="25" spans="1:13" x14ac:dyDescent="0.3">
      <c r="A25" s="74"/>
      <c r="B25" s="74"/>
      <c r="C25" s="72"/>
      <c r="D25" s="101">
        <f>SUM(D20:D24)</f>
        <v>0</v>
      </c>
      <c r="E25" s="75"/>
      <c r="F25" s="72"/>
      <c r="G25" s="155" t="s">
        <v>61</v>
      </c>
      <c r="H25" s="156"/>
      <c r="I25" s="157"/>
      <c r="J25" s="86">
        <f>SUM(J16:J24)</f>
        <v>0</v>
      </c>
      <c r="L25" s="105" t="s">
        <v>186</v>
      </c>
      <c r="M25" s="109">
        <v>0</v>
      </c>
    </row>
    <row r="26" spans="1:13" x14ac:dyDescent="0.3">
      <c r="B26" s="73"/>
      <c r="E26" s="77"/>
      <c r="L26" s="105" t="s">
        <v>187</v>
      </c>
      <c r="M26" s="109">
        <v>0</v>
      </c>
    </row>
    <row r="27" spans="1:13" x14ac:dyDescent="0.3">
      <c r="A27" s="162" t="s">
        <v>185</v>
      </c>
      <c r="B27" s="162"/>
      <c r="C27" s="162"/>
      <c r="D27" s="162"/>
      <c r="E27" s="162"/>
      <c r="F27" s="162"/>
      <c r="G27" s="162"/>
      <c r="H27" s="162"/>
      <c r="I27" s="162"/>
      <c r="J27" s="162"/>
      <c r="L27" s="105" t="s">
        <v>197</v>
      </c>
      <c r="M27" s="109">
        <v>0</v>
      </c>
    </row>
    <row r="28" spans="1:13" x14ac:dyDescent="0.3">
      <c r="A28" s="74"/>
      <c r="B28" s="78" t="s">
        <v>98</v>
      </c>
      <c r="C28" s="83">
        <f>B20</f>
        <v>0</v>
      </c>
      <c r="D28" s="84">
        <f>B21</f>
        <v>0</v>
      </c>
      <c r="E28" s="184">
        <f>B22</f>
        <v>0</v>
      </c>
      <c r="F28" s="185"/>
      <c r="G28" s="186"/>
      <c r="H28" s="83">
        <f>B23</f>
        <v>0</v>
      </c>
      <c r="I28" s="184">
        <f>B24</f>
        <v>0</v>
      </c>
      <c r="J28" s="186"/>
      <c r="L28" s="72"/>
      <c r="M28" s="128">
        <f>SUM(M16:M27)</f>
        <v>0</v>
      </c>
    </row>
    <row r="29" spans="1:13" x14ac:dyDescent="0.3">
      <c r="A29" s="74"/>
      <c r="B29" s="102" t="s">
        <v>4</v>
      </c>
      <c r="C29" s="86">
        <f>C20</f>
        <v>0</v>
      </c>
      <c r="D29" s="86">
        <f>C21</f>
        <v>0</v>
      </c>
      <c r="E29" s="187">
        <f>C22</f>
        <v>0</v>
      </c>
      <c r="F29" s="188"/>
      <c r="G29" s="189"/>
      <c r="H29" s="86">
        <f>C23</f>
        <v>0</v>
      </c>
      <c r="I29" s="187">
        <f>C24</f>
        <v>0</v>
      </c>
      <c r="J29" s="189"/>
    </row>
    <row r="30" spans="1:13" x14ac:dyDescent="0.3">
      <c r="A30" s="74">
        <v>1</v>
      </c>
      <c r="B30" s="110"/>
      <c r="C30" s="104">
        <v>0</v>
      </c>
      <c r="D30" s="104">
        <v>0</v>
      </c>
      <c r="E30" s="181">
        <v>0</v>
      </c>
      <c r="F30" s="182"/>
      <c r="G30" s="183"/>
      <c r="H30" s="104">
        <v>0</v>
      </c>
      <c r="I30" s="181">
        <v>0</v>
      </c>
      <c r="J30" s="183"/>
      <c r="L30" s="161" t="s">
        <v>118</v>
      </c>
      <c r="M30" s="161"/>
    </row>
    <row r="31" spans="1:13" x14ac:dyDescent="0.3">
      <c r="A31" s="74">
        <v>2</v>
      </c>
      <c r="B31" s="110"/>
      <c r="C31" s="104">
        <v>0</v>
      </c>
      <c r="D31" s="104">
        <v>0</v>
      </c>
      <c r="E31" s="181">
        <v>0</v>
      </c>
      <c r="F31" s="182"/>
      <c r="G31" s="183"/>
      <c r="H31" s="104">
        <v>0</v>
      </c>
      <c r="I31" s="181">
        <v>0</v>
      </c>
      <c r="J31" s="183"/>
      <c r="L31" s="176" t="str">
        <f>K2</f>
        <v>[NAMA DIREKTUR]</v>
      </c>
      <c r="M31" s="176"/>
    </row>
    <row r="32" spans="1:13" x14ac:dyDescent="0.3">
      <c r="A32" s="74">
        <v>3</v>
      </c>
      <c r="B32" s="110"/>
      <c r="C32" s="104">
        <v>0</v>
      </c>
      <c r="D32" s="104">
        <v>0</v>
      </c>
      <c r="E32" s="181">
        <v>0</v>
      </c>
      <c r="F32" s="182"/>
      <c r="G32" s="183"/>
      <c r="H32" s="104">
        <v>0</v>
      </c>
      <c r="I32" s="181">
        <v>0</v>
      </c>
      <c r="J32" s="183"/>
      <c r="L32" s="169" t="str">
        <f>H2</f>
        <v>[DOMISILI USAHA]</v>
      </c>
      <c r="M32" s="169"/>
    </row>
    <row r="33" spans="1:13" x14ac:dyDescent="0.3">
      <c r="A33" s="74">
        <v>4</v>
      </c>
      <c r="B33" s="110"/>
      <c r="C33" s="104">
        <v>0</v>
      </c>
      <c r="D33" s="104">
        <v>0</v>
      </c>
      <c r="E33" s="181">
        <v>0</v>
      </c>
      <c r="F33" s="182"/>
      <c r="G33" s="183"/>
      <c r="H33" s="104">
        <v>0</v>
      </c>
      <c r="I33" s="181">
        <v>0</v>
      </c>
      <c r="J33" s="183"/>
      <c r="L33" s="169"/>
      <c r="M33" s="169"/>
    </row>
    <row r="34" spans="1:13" x14ac:dyDescent="0.3">
      <c r="A34" s="74">
        <v>5</v>
      </c>
      <c r="B34" s="110"/>
      <c r="C34" s="104">
        <v>0</v>
      </c>
      <c r="D34" s="104">
        <v>0</v>
      </c>
      <c r="E34" s="181">
        <v>0</v>
      </c>
      <c r="F34" s="182"/>
      <c r="G34" s="183"/>
      <c r="H34" s="104">
        <v>0</v>
      </c>
      <c r="I34" s="181">
        <v>0</v>
      </c>
      <c r="J34" s="183"/>
      <c r="L34" s="169"/>
      <c r="M34" s="169"/>
    </row>
    <row r="35" spans="1:13" x14ac:dyDescent="0.3">
      <c r="A35" s="74"/>
      <c r="B35" s="79" t="s">
        <v>100</v>
      </c>
      <c r="C35" s="85">
        <f>SUM(C30:C34)</f>
        <v>0</v>
      </c>
      <c r="D35" s="85">
        <f>SUM(D30:D34)</f>
        <v>0</v>
      </c>
      <c r="E35" s="166">
        <f>SUM(E30:E34)</f>
        <v>0</v>
      </c>
      <c r="F35" s="167"/>
      <c r="G35" s="168"/>
      <c r="H35" s="85">
        <f>SUM(H30:H34)</f>
        <v>0</v>
      </c>
      <c r="I35" s="166">
        <f>SUM(I30:I34)</f>
        <v>0</v>
      </c>
      <c r="J35" s="168"/>
      <c r="L35" s="169"/>
      <c r="M35" s="169"/>
    </row>
    <row r="36" spans="1:13" x14ac:dyDescent="0.3">
      <c r="A36" s="74"/>
      <c r="B36" s="102" t="s">
        <v>101</v>
      </c>
      <c r="C36" s="86">
        <f>C29-C35</f>
        <v>0</v>
      </c>
      <c r="D36" s="86">
        <f>D29-D35</f>
        <v>0</v>
      </c>
      <c r="E36" s="187">
        <f>E29-E35</f>
        <v>0</v>
      </c>
      <c r="F36" s="188"/>
      <c r="G36" s="189"/>
      <c r="H36" s="86">
        <f>H29-H35</f>
        <v>0</v>
      </c>
      <c r="I36" s="187">
        <f>I29-I35</f>
        <v>0</v>
      </c>
      <c r="J36" s="189"/>
      <c r="L36" s="219" t="str">
        <f>K1</f>
        <v>[TANGGAL]</v>
      </c>
      <c r="M36" s="219"/>
    </row>
    <row r="37" spans="1:13" x14ac:dyDescent="0.3">
      <c r="A37" s="153" t="s">
        <v>102</v>
      </c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</row>
    <row r="38" spans="1:13" x14ac:dyDescent="0.3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</row>
    <row r="39" spans="1:13" x14ac:dyDescent="0.3">
      <c r="A39" s="115"/>
      <c r="B39" s="146" t="s">
        <v>103</v>
      </c>
      <c r="C39" s="147"/>
      <c r="D39" s="148"/>
      <c r="E39" s="116"/>
      <c r="F39" s="145" t="s">
        <v>105</v>
      </c>
      <c r="G39" s="145"/>
      <c r="H39" s="145"/>
      <c r="I39" s="145"/>
      <c r="J39" s="145"/>
      <c r="K39" s="145"/>
      <c r="L39" s="145"/>
      <c r="M39" s="116"/>
    </row>
    <row r="40" spans="1:13" x14ac:dyDescent="0.3">
      <c r="A40" s="115"/>
      <c r="B40" s="125">
        <f>B20</f>
        <v>0</v>
      </c>
      <c r="C40" s="126" t="e">
        <f>Processing!K36</f>
        <v>#DIV/0!</v>
      </c>
      <c r="D40" s="118" t="s">
        <v>104</v>
      </c>
      <c r="E40" s="116"/>
      <c r="F40" s="117" t="s">
        <v>106</v>
      </c>
      <c r="G40" s="138"/>
      <c r="H40" s="150">
        <f>Processing!E36</f>
        <v>0</v>
      </c>
      <c r="I40" s="150"/>
      <c r="J40" s="150"/>
      <c r="K40" s="139" t="s">
        <v>143</v>
      </c>
      <c r="L40" s="140" t="e">
        <f>H40/J12</f>
        <v>#DIV/0!</v>
      </c>
      <c r="M40" s="116"/>
    </row>
    <row r="41" spans="1:13" x14ac:dyDescent="0.3">
      <c r="A41" s="115"/>
      <c r="B41" s="125">
        <f>B21</f>
        <v>0</v>
      </c>
      <c r="C41" s="126" t="e">
        <f>Processing!L36</f>
        <v>#DIV/0!</v>
      </c>
      <c r="D41" s="118" t="s">
        <v>104</v>
      </c>
      <c r="E41" s="116"/>
      <c r="F41" s="120" t="s">
        <v>107</v>
      </c>
      <c r="G41" s="120"/>
      <c r="H41" s="151">
        <f>Processing!F36</f>
        <v>0</v>
      </c>
      <c r="I41" s="151"/>
      <c r="J41" s="151"/>
      <c r="K41" s="123" t="s">
        <v>143</v>
      </c>
      <c r="L41" s="124" t="e">
        <f>H41/J12</f>
        <v>#DIV/0!</v>
      </c>
      <c r="M41" s="116"/>
    </row>
    <row r="42" spans="1:13" x14ac:dyDescent="0.3">
      <c r="A42" s="115"/>
      <c r="B42" s="125">
        <f>B22</f>
        <v>0</v>
      </c>
      <c r="C42" s="126" t="e">
        <f>Processing!M36</f>
        <v>#DIV/0!</v>
      </c>
      <c r="D42" s="118" t="s">
        <v>104</v>
      </c>
      <c r="E42" s="116"/>
      <c r="F42" s="120" t="s">
        <v>108</v>
      </c>
      <c r="G42" s="120"/>
      <c r="H42" s="151">
        <f>Processing!G36</f>
        <v>0</v>
      </c>
      <c r="I42" s="151"/>
      <c r="J42" s="151"/>
      <c r="K42" s="123" t="s">
        <v>143</v>
      </c>
      <c r="L42" s="124" t="e">
        <f>H42/J12</f>
        <v>#DIV/0!</v>
      </c>
      <c r="M42" s="116"/>
    </row>
    <row r="43" spans="1:13" x14ac:dyDescent="0.3">
      <c r="A43" s="115"/>
      <c r="B43" s="125">
        <f>B23</f>
        <v>0</v>
      </c>
      <c r="C43" s="126" t="e">
        <f>Processing!N36</f>
        <v>#DIV/0!</v>
      </c>
      <c r="D43" s="118" t="s">
        <v>104</v>
      </c>
      <c r="E43" s="116"/>
      <c r="F43" s="149" t="s">
        <v>109</v>
      </c>
      <c r="G43" s="149"/>
      <c r="H43" s="149"/>
      <c r="I43" s="149"/>
      <c r="J43" s="149"/>
      <c r="K43" s="123"/>
      <c r="L43" s="118"/>
      <c r="M43" s="116"/>
    </row>
    <row r="44" spans="1:13" ht="14.5" customHeight="1" x14ac:dyDescent="0.3">
      <c r="A44" s="115"/>
      <c r="B44" s="125">
        <f>B24</f>
        <v>0</v>
      </c>
      <c r="C44" s="126" t="e">
        <f>Processing!O36</f>
        <v>#DIV/0!</v>
      </c>
      <c r="D44" s="118" t="s">
        <v>104</v>
      </c>
      <c r="E44" s="116"/>
      <c r="F44" s="152">
        <f>H42+H41+H40</f>
        <v>0</v>
      </c>
      <c r="G44" s="152"/>
      <c r="H44" s="152"/>
      <c r="I44" s="152"/>
      <c r="J44" s="152"/>
      <c r="K44" s="123" t="s">
        <v>143</v>
      </c>
      <c r="L44" s="124" t="e">
        <f>F44/J12</f>
        <v>#DIV/0!</v>
      </c>
      <c r="M44" s="116"/>
    </row>
    <row r="45" spans="1:13" x14ac:dyDescent="0.3">
      <c r="A45" s="115"/>
      <c r="B45" s="115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16"/>
    </row>
    <row r="46" spans="1:13" x14ac:dyDescent="0.3">
      <c r="A46" s="115"/>
      <c r="B46" s="115"/>
      <c r="C46" s="116"/>
      <c r="D46" s="116"/>
      <c r="E46" s="116"/>
      <c r="F46" s="116"/>
      <c r="G46" s="145" t="s">
        <v>147</v>
      </c>
      <c r="H46" s="145"/>
      <c r="I46" s="145"/>
      <c r="J46" s="145"/>
      <c r="K46" s="145"/>
      <c r="L46" s="145"/>
      <c r="M46" s="116"/>
    </row>
    <row r="47" spans="1:13" x14ac:dyDescent="0.3">
      <c r="A47" s="115"/>
      <c r="B47" s="115"/>
      <c r="C47" s="116"/>
      <c r="D47" s="116"/>
      <c r="E47" s="116"/>
      <c r="F47" s="116"/>
      <c r="G47" s="118"/>
      <c r="H47" s="149" t="s">
        <v>9</v>
      </c>
      <c r="I47" s="149"/>
      <c r="J47" s="120" t="s">
        <v>10</v>
      </c>
      <c r="K47" s="149" t="s">
        <v>11</v>
      </c>
      <c r="L47" s="149"/>
      <c r="M47" s="116"/>
    </row>
    <row r="48" spans="1:13" ht="14.5" customHeight="1" x14ac:dyDescent="0.3">
      <c r="A48" s="115"/>
      <c r="B48" s="115"/>
      <c r="C48" s="116"/>
      <c r="D48" s="116"/>
      <c r="E48" s="116"/>
      <c r="F48" s="116"/>
      <c r="G48" s="120" t="s">
        <v>40</v>
      </c>
      <c r="H48" s="203" t="e">
        <f>Processing!B65</f>
        <v>#DIV/0!</v>
      </c>
      <c r="I48" s="203"/>
      <c r="J48" s="122" t="e">
        <f>Processing!C65</f>
        <v>#DIV/0!</v>
      </c>
      <c r="K48" s="203" t="e">
        <f>Processing!D65</f>
        <v>#DIV/0!</v>
      </c>
      <c r="L48" s="203"/>
      <c r="M48" s="116"/>
    </row>
    <row r="49" spans="1:13" x14ac:dyDescent="0.3">
      <c r="A49" s="115"/>
      <c r="B49" s="115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</row>
    <row r="50" spans="1:13" ht="14.5" customHeight="1" x14ac:dyDescent="0.3">
      <c r="A50" s="115"/>
      <c r="B50" s="115"/>
      <c r="C50" s="116"/>
      <c r="D50" s="116"/>
      <c r="E50" s="116"/>
      <c r="F50" s="116"/>
      <c r="G50" s="146" t="s">
        <v>140</v>
      </c>
      <c r="H50" s="147"/>
      <c r="I50" s="147"/>
      <c r="J50" s="147"/>
      <c r="K50" s="147"/>
      <c r="L50" s="148"/>
      <c r="M50" s="116"/>
    </row>
    <row r="51" spans="1:13" ht="14.5" customHeight="1" x14ac:dyDescent="0.3">
      <c r="A51" s="115"/>
      <c r="B51" s="115"/>
      <c r="C51" s="116"/>
      <c r="D51" s="116"/>
      <c r="E51" s="116"/>
      <c r="F51" s="116"/>
      <c r="G51" s="118"/>
      <c r="H51" s="149" t="s">
        <v>9</v>
      </c>
      <c r="I51" s="149"/>
      <c r="J51" s="119" t="s">
        <v>10</v>
      </c>
      <c r="K51" s="149" t="s">
        <v>11</v>
      </c>
      <c r="L51" s="149"/>
      <c r="M51" s="116"/>
    </row>
    <row r="52" spans="1:13" ht="14.5" customHeight="1" x14ac:dyDescent="0.3">
      <c r="A52" s="115"/>
      <c r="B52" s="115"/>
      <c r="C52" s="116"/>
      <c r="D52" s="116"/>
      <c r="E52" s="116"/>
      <c r="F52" s="116"/>
      <c r="G52" s="120" t="s">
        <v>141</v>
      </c>
      <c r="H52" s="204" t="e">
        <f>Processing!B77</f>
        <v>#DIV/0!</v>
      </c>
      <c r="I52" s="204"/>
      <c r="J52" s="121" t="e">
        <f>Processing!C77</f>
        <v>#DIV/0!</v>
      </c>
      <c r="K52" s="204" t="e">
        <f>Processing!D77</f>
        <v>#DIV/0!</v>
      </c>
      <c r="L52" s="204"/>
      <c r="M52" s="116"/>
    </row>
    <row r="53" spans="1:13" ht="14.5" customHeight="1" x14ac:dyDescent="0.3">
      <c r="A53" s="115"/>
      <c r="B53" s="115"/>
      <c r="C53" s="116"/>
      <c r="D53" s="116"/>
      <c r="E53" s="116"/>
      <c r="F53" s="116"/>
      <c r="G53" s="120" t="s">
        <v>142</v>
      </c>
      <c r="H53" s="204"/>
      <c r="I53" s="204"/>
      <c r="J53" s="204"/>
      <c r="K53" s="204"/>
      <c r="L53" s="204"/>
      <c r="M53" s="116"/>
    </row>
    <row r="54" spans="1:13" ht="14.5" customHeight="1" x14ac:dyDescent="0.3">
      <c r="A54" s="115"/>
      <c r="B54" s="115"/>
      <c r="C54" s="116"/>
      <c r="D54" s="116"/>
      <c r="E54" s="116"/>
      <c r="F54" s="116"/>
      <c r="G54" s="118">
        <f>B40</f>
        <v>0</v>
      </c>
      <c r="H54" s="143" t="e">
        <f>Processing!B80</f>
        <v>#DIV/0!</v>
      </c>
      <c r="I54" s="144"/>
      <c r="J54" s="121" t="e">
        <f>Processing!C80</f>
        <v>#DIV/0!</v>
      </c>
      <c r="K54" s="143" t="e">
        <f>Processing!D80</f>
        <v>#DIV/0!</v>
      </c>
      <c r="L54" s="144"/>
      <c r="M54" s="116"/>
    </row>
    <row r="55" spans="1:13" x14ac:dyDescent="0.3">
      <c r="A55" s="115"/>
      <c r="B55" s="115"/>
      <c r="C55" s="116"/>
      <c r="D55" s="116"/>
      <c r="E55" s="116"/>
      <c r="F55" s="116"/>
      <c r="G55" s="118">
        <f>B41</f>
        <v>0</v>
      </c>
      <c r="H55" s="143" t="e">
        <f>Processing!B81</f>
        <v>#DIV/0!</v>
      </c>
      <c r="I55" s="144"/>
      <c r="J55" s="121" t="e">
        <f>Processing!C81</f>
        <v>#DIV/0!</v>
      </c>
      <c r="K55" s="143" t="e">
        <f>Processing!D81</f>
        <v>#DIV/0!</v>
      </c>
      <c r="L55" s="144"/>
      <c r="M55" s="116"/>
    </row>
    <row r="56" spans="1:13" x14ac:dyDescent="0.3">
      <c r="A56" s="115"/>
      <c r="B56" s="115"/>
      <c r="C56" s="116"/>
      <c r="D56" s="116"/>
      <c r="E56" s="116"/>
      <c r="F56" s="116"/>
      <c r="G56" s="118">
        <f>B42</f>
        <v>0</v>
      </c>
      <c r="H56" s="143" t="e">
        <f>Processing!B82</f>
        <v>#DIV/0!</v>
      </c>
      <c r="I56" s="144"/>
      <c r="J56" s="121" t="e">
        <f>Processing!C82</f>
        <v>#DIV/0!</v>
      </c>
      <c r="K56" s="143" t="e">
        <f>Processing!D82</f>
        <v>#DIV/0!</v>
      </c>
      <c r="L56" s="144"/>
      <c r="M56" s="116"/>
    </row>
    <row r="57" spans="1:13" x14ac:dyDescent="0.3">
      <c r="A57" s="115"/>
      <c r="B57" s="115"/>
      <c r="C57" s="116"/>
      <c r="D57" s="116"/>
      <c r="E57" s="116"/>
      <c r="F57" s="116"/>
      <c r="G57" s="118">
        <f>B43</f>
        <v>0</v>
      </c>
      <c r="H57" s="143" t="e">
        <f>Processing!B83</f>
        <v>#DIV/0!</v>
      </c>
      <c r="I57" s="144"/>
      <c r="J57" s="121" t="e">
        <f>Processing!C83</f>
        <v>#DIV/0!</v>
      </c>
      <c r="K57" s="143" t="e">
        <f>Processing!D83</f>
        <v>#DIV/0!</v>
      </c>
      <c r="L57" s="144"/>
      <c r="M57" s="116"/>
    </row>
    <row r="58" spans="1:13" x14ac:dyDescent="0.3">
      <c r="A58" s="115"/>
      <c r="B58" s="115"/>
      <c r="C58" s="116"/>
      <c r="D58" s="116"/>
      <c r="E58" s="116"/>
      <c r="F58" s="116"/>
      <c r="G58" s="118">
        <f>B44</f>
        <v>0</v>
      </c>
      <c r="H58" s="143" t="e">
        <f>Processing!B84</f>
        <v>#DIV/0!</v>
      </c>
      <c r="I58" s="144"/>
      <c r="J58" s="121" t="e">
        <f>Processing!C84</f>
        <v>#DIV/0!</v>
      </c>
      <c r="K58" s="143" t="e">
        <f>Processing!D84</f>
        <v>#DIV/0!</v>
      </c>
      <c r="L58" s="144"/>
      <c r="M58" s="116"/>
    </row>
    <row r="59" spans="1:13" x14ac:dyDescent="0.3">
      <c r="A59" s="115"/>
      <c r="B59" s="115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6"/>
    </row>
    <row r="60" spans="1:13" x14ac:dyDescent="0.3">
      <c r="A60" s="115"/>
      <c r="B60" s="115"/>
      <c r="C60" s="116"/>
      <c r="D60" s="116"/>
      <c r="E60" s="116"/>
      <c r="F60" s="116"/>
      <c r="G60" s="116"/>
      <c r="H60" s="145" t="s">
        <v>144</v>
      </c>
      <c r="I60" s="145"/>
      <c r="J60" s="145"/>
      <c r="K60" s="145"/>
      <c r="L60" s="145"/>
      <c r="M60" s="116"/>
    </row>
    <row r="61" spans="1:13" x14ac:dyDescent="0.3">
      <c r="A61" s="115"/>
      <c r="B61" s="115"/>
      <c r="C61" s="116"/>
      <c r="D61" s="116"/>
      <c r="E61" s="116"/>
      <c r="F61" s="116"/>
      <c r="G61" s="116"/>
      <c r="H61" s="202" t="e">
        <f>(C7+C8)/(Processing!B71/12)</f>
        <v>#DIV/0!</v>
      </c>
      <c r="I61" s="202"/>
      <c r="J61" s="202"/>
      <c r="K61" s="202"/>
      <c r="L61" s="202"/>
      <c r="M61" s="116"/>
    </row>
    <row r="62" spans="1:13" x14ac:dyDescent="0.3">
      <c r="A62" s="115"/>
      <c r="B62" s="115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</row>
    <row r="63" spans="1:13" x14ac:dyDescent="0.3">
      <c r="A63" s="115"/>
      <c r="B63" s="115"/>
      <c r="C63" s="116"/>
      <c r="D63" s="116"/>
      <c r="E63" s="116"/>
      <c r="F63" s="116"/>
      <c r="G63" s="116"/>
      <c r="H63" s="145" t="s">
        <v>169</v>
      </c>
      <c r="I63" s="145"/>
      <c r="J63" s="145"/>
      <c r="K63" s="145"/>
      <c r="L63" s="145"/>
      <c r="M63" s="116"/>
    </row>
    <row r="64" spans="1:13" x14ac:dyDescent="0.3">
      <c r="A64" s="115"/>
      <c r="B64" s="115"/>
      <c r="C64" s="116"/>
      <c r="D64" s="116"/>
      <c r="E64" s="116"/>
      <c r="F64" s="116"/>
      <c r="G64" s="116"/>
      <c r="H64" s="201" t="e">
        <f>Processing!B57</f>
        <v>#DIV/0!</v>
      </c>
      <c r="I64" s="201"/>
      <c r="J64" s="201"/>
      <c r="K64" s="201"/>
      <c r="L64" s="201"/>
      <c r="M64" s="116"/>
    </row>
    <row r="65" spans="1:13" x14ac:dyDescent="0.3">
      <c r="A65" s="115"/>
      <c r="B65" s="115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</row>
    <row r="66" spans="1:13" x14ac:dyDescent="0.3">
      <c r="A66" s="115"/>
      <c r="B66" s="115"/>
      <c r="C66" s="116"/>
      <c r="D66" s="116"/>
      <c r="E66" s="116"/>
      <c r="F66" s="116"/>
      <c r="G66" s="116"/>
      <c r="H66" s="145" t="s">
        <v>145</v>
      </c>
      <c r="I66" s="145"/>
      <c r="J66" s="145"/>
      <c r="K66" s="145"/>
      <c r="L66" s="145"/>
      <c r="M66" s="116"/>
    </row>
    <row r="67" spans="1:13" x14ac:dyDescent="0.3">
      <c r="A67" s="115"/>
      <c r="B67" s="115"/>
      <c r="C67" s="116"/>
      <c r="D67" s="116"/>
      <c r="E67" s="116"/>
      <c r="F67" s="116"/>
      <c r="G67" s="116"/>
      <c r="H67" s="201" t="e">
        <f>Processing!B68</f>
        <v>#DIV/0!</v>
      </c>
      <c r="I67" s="201"/>
      <c r="J67" s="201"/>
      <c r="K67" s="201"/>
      <c r="L67" s="201"/>
      <c r="M67" s="116"/>
    </row>
    <row r="68" spans="1:13" x14ac:dyDescent="0.3">
      <c r="A68" s="115"/>
      <c r="B68" s="115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16"/>
    </row>
    <row r="69" spans="1:13" x14ac:dyDescent="0.3">
      <c r="A69" s="115"/>
      <c r="B69" s="115"/>
      <c r="C69" s="116"/>
      <c r="D69" s="116"/>
      <c r="E69" s="116"/>
      <c r="F69" s="116"/>
      <c r="G69" s="116"/>
      <c r="H69" s="145" t="s">
        <v>146</v>
      </c>
      <c r="I69" s="145"/>
      <c r="J69" s="145"/>
      <c r="K69" s="145"/>
      <c r="L69" s="145"/>
      <c r="M69" s="116"/>
    </row>
    <row r="70" spans="1:13" x14ac:dyDescent="0.3">
      <c r="A70" s="115"/>
      <c r="B70" s="115"/>
      <c r="C70" s="116"/>
      <c r="D70" s="116"/>
      <c r="E70" s="116"/>
      <c r="F70" s="116"/>
      <c r="G70" s="116"/>
      <c r="H70" s="198" t="s">
        <v>107</v>
      </c>
      <c r="I70" s="198"/>
      <c r="J70" s="199" t="e">
        <f>Processing!C73</f>
        <v>#DIV/0!</v>
      </c>
      <c r="K70" s="199"/>
      <c r="L70" s="199"/>
      <c r="M70" s="116"/>
    </row>
    <row r="71" spans="1:13" x14ac:dyDescent="0.3">
      <c r="A71" s="115"/>
      <c r="B71" s="115"/>
      <c r="C71" s="116"/>
      <c r="D71" s="116"/>
      <c r="E71" s="116"/>
      <c r="F71" s="116"/>
      <c r="G71" s="116"/>
      <c r="H71" s="198" t="s">
        <v>108</v>
      </c>
      <c r="I71" s="198"/>
      <c r="J71" s="199" t="e">
        <f>Processing!D73</f>
        <v>#DIV/0!</v>
      </c>
      <c r="K71" s="199"/>
      <c r="L71" s="199"/>
      <c r="M71" s="116"/>
    </row>
    <row r="72" spans="1:13" x14ac:dyDescent="0.3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</row>
    <row r="73" spans="1:13" x14ac:dyDescent="0.3">
      <c r="A73" s="200" t="s">
        <v>102</v>
      </c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0"/>
    </row>
  </sheetData>
  <sheetProtection algorithmName="SHA-512" hashValue="LeeFSVdfNNF8WHRTJFbRlzIpqfISe5P/fgNuc2IneWArspcm3vjB7S/JPgVUzqkJshOgCWO6Kmj4l/cSupBDLA==" saltValue="GFsZr60s5EEQLZf7om9R/A==" spinCount="100000" sheet="1" objects="1" scenarios="1"/>
  <protectedRanges>
    <protectedRange algorithmName="SHA-512" hashValue="1vZIirFACTSBePoVEeKeAWns3LH6cI80OYykebf8tglx1h2y1pyJ8lgxkwaDyu0jq0wdqxdF1lBnjvrEQIVKng==" saltValue="/CL+xTC8QRK74HL+8wk/sg==" spinCount="100000" sqref="C2:D3" name="Deskripsi 1"/>
  </protectedRanges>
  <mergeCells count="101">
    <mergeCell ref="K47:L47"/>
    <mergeCell ref="H52:I52"/>
    <mergeCell ref="H53:L53"/>
    <mergeCell ref="K52:L52"/>
    <mergeCell ref="H54:I54"/>
    <mergeCell ref="H55:I55"/>
    <mergeCell ref="H56:I56"/>
    <mergeCell ref="H57:I57"/>
    <mergeCell ref="A73:M73"/>
    <mergeCell ref="H67:L67"/>
    <mergeCell ref="H66:L66"/>
    <mergeCell ref="H64:L64"/>
    <mergeCell ref="H63:L63"/>
    <mergeCell ref="H69:L69"/>
    <mergeCell ref="H60:L60"/>
    <mergeCell ref="H61:L61"/>
    <mergeCell ref="H48:I48"/>
    <mergeCell ref="K48:L48"/>
    <mergeCell ref="C2:D2"/>
    <mergeCell ref="I36:J36"/>
    <mergeCell ref="I33:J33"/>
    <mergeCell ref="I34:J34"/>
    <mergeCell ref="I32:J32"/>
    <mergeCell ref="A27:J27"/>
    <mergeCell ref="E35:G35"/>
    <mergeCell ref="I28:J28"/>
    <mergeCell ref="I29:J29"/>
    <mergeCell ref="I30:J30"/>
    <mergeCell ref="I31:J31"/>
    <mergeCell ref="E33:G33"/>
    <mergeCell ref="G24:I24"/>
    <mergeCell ref="K1:M1"/>
    <mergeCell ref="G22:I22"/>
    <mergeCell ref="G23:I23"/>
    <mergeCell ref="L31:M31"/>
    <mergeCell ref="L14:M14"/>
    <mergeCell ref="F14:J14"/>
    <mergeCell ref="G16:I16"/>
    <mergeCell ref="G17:I17"/>
    <mergeCell ref="G18:I18"/>
    <mergeCell ref="F6:M6"/>
    <mergeCell ref="F8:M8"/>
    <mergeCell ref="G19:I19"/>
    <mergeCell ref="E28:G28"/>
    <mergeCell ref="E29:G29"/>
    <mergeCell ref="E30:G30"/>
    <mergeCell ref="L15:M15"/>
    <mergeCell ref="E31:G31"/>
    <mergeCell ref="K4:M4"/>
    <mergeCell ref="K2:M2"/>
    <mergeCell ref="A1:J1"/>
    <mergeCell ref="B4:D4"/>
    <mergeCell ref="C3:D3"/>
    <mergeCell ref="G20:I20"/>
    <mergeCell ref="G21:I21"/>
    <mergeCell ref="A37:M37"/>
    <mergeCell ref="K3:M3"/>
    <mergeCell ref="G25:I25"/>
    <mergeCell ref="G15:I15"/>
    <mergeCell ref="A19:B19"/>
    <mergeCell ref="A6:D6"/>
    <mergeCell ref="A18:D18"/>
    <mergeCell ref="K7:M7"/>
    <mergeCell ref="K9:M9"/>
    <mergeCell ref="K10:M10"/>
    <mergeCell ref="K11:M11"/>
    <mergeCell ref="K12:M12"/>
    <mergeCell ref="E36:G36"/>
    <mergeCell ref="L36:M36"/>
    <mergeCell ref="L32:M32"/>
    <mergeCell ref="L30:M30"/>
    <mergeCell ref="E32:G32"/>
    <mergeCell ref="I35:J35"/>
    <mergeCell ref="L33:M35"/>
    <mergeCell ref="E34:G34"/>
    <mergeCell ref="A10:D10"/>
    <mergeCell ref="J9:J11"/>
    <mergeCell ref="A38:M38"/>
    <mergeCell ref="A72:M72"/>
    <mergeCell ref="K56:L56"/>
    <mergeCell ref="K57:L57"/>
    <mergeCell ref="K58:L58"/>
    <mergeCell ref="F39:L39"/>
    <mergeCell ref="B39:D39"/>
    <mergeCell ref="G46:L46"/>
    <mergeCell ref="K51:L51"/>
    <mergeCell ref="H51:I51"/>
    <mergeCell ref="G50:L50"/>
    <mergeCell ref="H40:J40"/>
    <mergeCell ref="H41:J41"/>
    <mergeCell ref="H42:J42"/>
    <mergeCell ref="F43:J43"/>
    <mergeCell ref="F44:J44"/>
    <mergeCell ref="H58:I58"/>
    <mergeCell ref="K54:L54"/>
    <mergeCell ref="K55:L55"/>
    <mergeCell ref="H70:I70"/>
    <mergeCell ref="H71:I71"/>
    <mergeCell ref="J70:L70"/>
    <mergeCell ref="J71:L71"/>
    <mergeCell ref="H47:I47"/>
  </mergeCells>
  <conditionalFormatting sqref="C36:J36">
    <cfRule type="cellIs" dxfId="3" priority="1" operator="lessThan">
      <formula>0</formula>
    </cfRule>
  </conditionalFormatting>
  <conditionalFormatting sqref="D25">
    <cfRule type="cellIs" dxfId="2" priority="5" operator="greaterThan">
      <formula>1</formula>
    </cfRule>
  </conditionalFormatting>
  <conditionalFormatting sqref="J9:J11">
    <cfRule type="cellIs" dxfId="1" priority="4" operator="greaterThan">
      <formula>1</formula>
    </cfRule>
  </conditionalFormatting>
  <conditionalFormatting sqref="M28">
    <cfRule type="cellIs" dxfId="0" priority="3" operator="greaterThan">
      <formula>1</formula>
    </cfRule>
  </conditionalFormatting>
  <hyperlinks>
    <hyperlink ref="K4" r:id="rId1" display="www.catsusiaw" xr:uid="{FFDC8685-C4C6-4D15-97AD-3B939EAA44C7}"/>
  </hyperlinks>
  <pageMargins left="0.7" right="0.7" top="0.75" bottom="0.75" header="0.3" footer="0.3"/>
  <pageSetup paperSize="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0F35E5E-2BFB-4FEB-86A9-5885A18D7ABC}">
          <x14:formula1>
            <xm:f>Processing!$G$49:$G$52</xm:f>
          </x14:formula1>
          <xm:sqref>H3</xm:sqref>
        </x14:dataValidation>
        <x14:dataValidation type="list" allowBlank="1" showInputMessage="1" showErrorMessage="1" xr:uid="{A438208C-C5E4-40BB-98BC-5492DBEBBD2E}">
          <x14:formula1>
            <xm:f>Processing!$G$54:$G$55</xm:f>
          </x14:formula1>
          <xm:sqref>H4</xm:sqref>
        </x14:dataValidation>
        <x14:dataValidation type="list" allowBlank="1" showInputMessage="1" showErrorMessage="1" xr:uid="{77017514-6311-4450-B25C-A7B11BF43640}">
          <x14:formula1>
            <xm:f>Processing!$G$57:$G$60</xm:f>
          </x14:formula1>
          <xm:sqref>K3:M3</xm:sqref>
        </x14:dataValidation>
        <x14:dataValidation type="list" allowBlank="1" showInputMessage="1" showErrorMessage="1" xr:uid="{CEB29226-DB6B-47E0-95B0-1611C84A7698}">
          <x14:formula1>
            <xm:f>Processing!$G$63:$G$67</xm:f>
          </x14:formula1>
          <xm:sqref>D7</xm:sqref>
        </x14:dataValidation>
        <x14:dataValidation type="list" allowBlank="1" showInputMessage="1" showErrorMessage="1" xr:uid="{C7C10283-10BE-4E4B-87C1-BD50CB20C426}">
          <x14:formula1>
            <xm:f>Processing!$G$69:$G$70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tabSelected="1" zoomScale="92" zoomScaleNormal="92" workbookViewId="0">
      <pane xSplit="1" topLeftCell="G1" activePane="topRight" state="frozen"/>
      <selection pane="topRight" activeCell="J19" sqref="J19"/>
    </sheetView>
  </sheetViews>
  <sheetFormatPr defaultRowHeight="14.5" x14ac:dyDescent="0.35"/>
  <cols>
    <col min="1" max="1" width="25" style="3" customWidth="1"/>
    <col min="2" max="2" width="12.1796875" bestFit="1" customWidth="1"/>
    <col min="3" max="4" width="13.81640625" bestFit="1" customWidth="1"/>
    <col min="5" max="5" width="14.81640625" bestFit="1" customWidth="1"/>
    <col min="6" max="11" width="12.1796875" bestFit="1" customWidth="1"/>
    <col min="12" max="12" width="13.453125" bestFit="1" customWidth="1"/>
    <col min="13" max="23" width="12.1796875" bestFit="1" customWidth="1"/>
    <col min="24" max="24" width="13.453125" bestFit="1" customWidth="1"/>
    <col min="25" max="30" width="12.1796875" bestFit="1" customWidth="1"/>
    <col min="31" max="32" width="13.81640625" bestFit="1" customWidth="1"/>
    <col min="33" max="35" width="12.1796875" bestFit="1" customWidth="1"/>
    <col min="36" max="36" width="13.453125" bestFit="1" customWidth="1"/>
    <col min="37" max="37" width="13.81640625" bestFit="1" customWidth="1"/>
    <col min="38" max="38" width="1.90625" customWidth="1"/>
    <col min="39" max="39" width="14.81640625" bestFit="1" customWidth="1"/>
    <col min="40" max="42" width="13.81640625" bestFit="1" customWidth="1"/>
    <col min="43" max="43" width="14.81640625" bestFit="1" customWidth="1"/>
  </cols>
  <sheetData>
    <row r="1" spans="1:42" ht="18.5" x14ac:dyDescent="0.45">
      <c r="A1" s="141"/>
      <c r="B1" s="205" t="s">
        <v>174</v>
      </c>
      <c r="C1" s="206"/>
      <c r="D1" s="206"/>
      <c r="E1" s="206"/>
      <c r="F1" s="206"/>
      <c r="G1" s="206"/>
      <c r="H1" s="206"/>
      <c r="I1" s="206"/>
      <c r="J1" s="206"/>
      <c r="K1" s="207"/>
      <c r="L1" s="208" t="str">
        <f>Navigasi!L36</f>
        <v>[TANGGAL]</v>
      </c>
      <c r="M1" s="209"/>
      <c r="N1" s="205" t="s">
        <v>175</v>
      </c>
      <c r="O1" s="206"/>
      <c r="P1" s="206"/>
      <c r="Q1" s="206"/>
      <c r="R1" s="206"/>
      <c r="S1" s="206"/>
      <c r="T1" s="206"/>
      <c r="U1" s="206"/>
      <c r="V1" s="206"/>
      <c r="W1" s="207"/>
      <c r="X1" s="208" t="str">
        <f>L1</f>
        <v>[TANGGAL]</v>
      </c>
      <c r="Y1" s="209"/>
      <c r="Z1" s="205" t="s">
        <v>176</v>
      </c>
      <c r="AA1" s="206"/>
      <c r="AB1" s="206"/>
      <c r="AC1" s="206"/>
      <c r="AD1" s="206"/>
      <c r="AE1" s="206"/>
      <c r="AF1" s="206"/>
      <c r="AG1" s="206"/>
      <c r="AH1" s="206"/>
      <c r="AI1" s="207"/>
      <c r="AJ1" s="208" t="str">
        <f>X1</f>
        <v>[TANGGAL]</v>
      </c>
      <c r="AK1" s="209"/>
      <c r="AM1" s="210" t="s">
        <v>150</v>
      </c>
      <c r="AN1" s="210"/>
      <c r="AO1" s="210"/>
      <c r="AP1" s="210"/>
    </row>
    <row r="2" spans="1:42" x14ac:dyDescent="0.35">
      <c r="A2" s="212" t="str">
        <f>Navigasi!C2</f>
        <v>[NAMA USAHA ANDA]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4"/>
      <c r="N2" s="211" t="str">
        <f>A2</f>
        <v>[NAMA USAHA ANDA]</v>
      </c>
      <c r="O2" s="211"/>
      <c r="P2" s="211"/>
      <c r="Q2" s="211"/>
      <c r="R2" s="211"/>
      <c r="S2" s="211"/>
      <c r="T2" s="211"/>
      <c r="U2" s="211"/>
      <c r="V2" s="211"/>
      <c r="W2" s="211"/>
      <c r="X2" s="211"/>
      <c r="Y2" s="211"/>
      <c r="Z2" s="211" t="str">
        <f>N2</f>
        <v>[NAMA USAHA ANDA]</v>
      </c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M2" s="211" t="str">
        <f>Z2</f>
        <v>[NAMA USAHA ANDA]</v>
      </c>
      <c r="AN2" s="211"/>
      <c r="AO2" s="211"/>
      <c r="AP2" s="211"/>
    </row>
    <row r="3" spans="1:42" x14ac:dyDescent="0.35">
      <c r="A3" s="212" t="str">
        <f>Navigasi!H2</f>
        <v>[DOMISILI USAHA]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4"/>
      <c r="N3" s="211" t="str">
        <f>A3</f>
        <v>[DOMISILI USAHA]</v>
      </c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 t="str">
        <f>N3</f>
        <v>[DOMISILI USAHA]</v>
      </c>
      <c r="AA3" s="211"/>
      <c r="AB3" s="211"/>
      <c r="AC3" s="211"/>
      <c r="AD3" s="211"/>
      <c r="AE3" s="211"/>
      <c r="AF3" s="211"/>
      <c r="AG3" s="211"/>
      <c r="AH3" s="211"/>
      <c r="AI3" s="211"/>
      <c r="AJ3" s="211"/>
      <c r="AK3" s="211"/>
      <c r="AM3" s="211" t="str">
        <f>Z3</f>
        <v>[DOMISILI USAHA]</v>
      </c>
      <c r="AN3" s="211"/>
      <c r="AO3" s="211"/>
      <c r="AP3" s="211"/>
    </row>
    <row r="4" spans="1:42" x14ac:dyDescent="0.35">
      <c r="A4" s="7"/>
      <c r="B4" s="112" t="str">
        <f>Navigasi!L16</f>
        <v>JANUARI</v>
      </c>
      <c r="C4" s="1" t="str">
        <f>Navigasi!L17</f>
        <v>FEBRUARI</v>
      </c>
      <c r="D4" s="1" t="str">
        <f>Navigasi!L18</f>
        <v>MARET</v>
      </c>
      <c r="E4" s="1" t="str">
        <f>Navigasi!L19</f>
        <v>APRIL</v>
      </c>
      <c r="F4" s="1" t="str">
        <f>Navigasi!L20</f>
        <v>MEI</v>
      </c>
      <c r="G4" s="1" t="str">
        <f>Navigasi!L21</f>
        <v>JUNI</v>
      </c>
      <c r="H4" s="1" t="str">
        <f>Navigasi!L22</f>
        <v>JULI</v>
      </c>
      <c r="I4" s="1" t="str">
        <f>Navigasi!L23</f>
        <v>AGUSTUS</v>
      </c>
      <c r="J4" s="1" t="str">
        <f>Navigasi!L24</f>
        <v>SEPTEMBER</v>
      </c>
      <c r="K4" s="1" t="str">
        <f>Navigasi!L25</f>
        <v>OKTOBER</v>
      </c>
      <c r="L4" s="1" t="str">
        <f>Navigasi!L26</f>
        <v>NOVEMBER</v>
      </c>
      <c r="M4" s="1" t="str">
        <f>Navigasi!L27</f>
        <v>DESEMBER</v>
      </c>
      <c r="N4" s="112" t="str">
        <f t="shared" ref="N4:Y4" si="0">B4</f>
        <v>JANUARI</v>
      </c>
      <c r="O4" s="1" t="str">
        <f t="shared" si="0"/>
        <v>FEBRUARI</v>
      </c>
      <c r="P4" s="1" t="str">
        <f t="shared" si="0"/>
        <v>MARET</v>
      </c>
      <c r="Q4" s="1" t="str">
        <f t="shared" si="0"/>
        <v>APRIL</v>
      </c>
      <c r="R4" s="1" t="str">
        <f t="shared" si="0"/>
        <v>MEI</v>
      </c>
      <c r="S4" s="1" t="str">
        <f t="shared" si="0"/>
        <v>JUNI</v>
      </c>
      <c r="T4" s="1" t="str">
        <f t="shared" si="0"/>
        <v>JULI</v>
      </c>
      <c r="U4" s="1" t="str">
        <f t="shared" si="0"/>
        <v>AGUSTUS</v>
      </c>
      <c r="V4" s="1" t="str">
        <f t="shared" si="0"/>
        <v>SEPTEMBER</v>
      </c>
      <c r="W4" s="1" t="str">
        <f t="shared" si="0"/>
        <v>OKTOBER</v>
      </c>
      <c r="X4" s="1" t="str">
        <f t="shared" si="0"/>
        <v>NOVEMBER</v>
      </c>
      <c r="Y4" s="1" t="str">
        <f t="shared" si="0"/>
        <v>DESEMBER</v>
      </c>
      <c r="Z4" s="112" t="str">
        <f>N4</f>
        <v>JANUARI</v>
      </c>
      <c r="AA4" s="1" t="str">
        <f t="shared" ref="AA4:AK4" si="1">O4</f>
        <v>FEBRUARI</v>
      </c>
      <c r="AB4" s="1" t="str">
        <f t="shared" si="1"/>
        <v>MARET</v>
      </c>
      <c r="AC4" s="1" t="str">
        <f t="shared" si="1"/>
        <v>APRIL</v>
      </c>
      <c r="AD4" s="1" t="str">
        <f t="shared" si="1"/>
        <v>MEI</v>
      </c>
      <c r="AE4" s="1" t="str">
        <f t="shared" si="1"/>
        <v>JUNI</v>
      </c>
      <c r="AF4" s="1" t="str">
        <f t="shared" si="1"/>
        <v>JULI</v>
      </c>
      <c r="AG4" s="1" t="str">
        <f t="shared" si="1"/>
        <v>AGUSTUS</v>
      </c>
      <c r="AH4" s="1" t="str">
        <f t="shared" si="1"/>
        <v>SEPTEMBER</v>
      </c>
      <c r="AI4" s="1" t="str">
        <f t="shared" si="1"/>
        <v>OKTOBER</v>
      </c>
      <c r="AJ4" s="1" t="str">
        <f t="shared" si="1"/>
        <v>NOVEMBER</v>
      </c>
      <c r="AK4" s="1" t="str">
        <f t="shared" si="1"/>
        <v>DESEMBER</v>
      </c>
      <c r="AL4" s="18"/>
      <c r="AM4" s="1" t="s">
        <v>61</v>
      </c>
      <c r="AN4" s="1" t="s">
        <v>58</v>
      </c>
      <c r="AO4" s="1" t="s">
        <v>59</v>
      </c>
      <c r="AP4" s="1" t="s">
        <v>60</v>
      </c>
    </row>
    <row r="5" spans="1:42" x14ac:dyDescent="0.35">
      <c r="A5" s="95" t="s">
        <v>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8"/>
      <c r="AM5" s="10"/>
      <c r="AN5" s="10"/>
      <c r="AO5" s="10"/>
      <c r="AP5" s="10"/>
    </row>
    <row r="6" spans="1:42" x14ac:dyDescent="0.35">
      <c r="A6" s="7">
        <f>Processing!C5</f>
        <v>0</v>
      </c>
      <c r="B6" s="92">
        <f>Processing!E5*Processing!E24</f>
        <v>0</v>
      </c>
      <c r="C6" s="92">
        <f>Processing!E5*Processing!E25</f>
        <v>0</v>
      </c>
      <c r="D6" s="92">
        <f>Processing!E26*Processing!E5</f>
        <v>0</v>
      </c>
      <c r="E6" s="92">
        <f>Processing!E5*Processing!E27</f>
        <v>0</v>
      </c>
      <c r="F6" s="92">
        <f>Processing!E5*Processing!E28</f>
        <v>0</v>
      </c>
      <c r="G6" s="92">
        <f>Processing!E5*Processing!E29</f>
        <v>0</v>
      </c>
      <c r="H6" s="92">
        <f>Processing!E30*Processing!E5</f>
        <v>0</v>
      </c>
      <c r="I6" s="92">
        <f>Processing!E5*Processing!E31</f>
        <v>0</v>
      </c>
      <c r="J6" s="92">
        <f>Processing!E5*Processing!E32</f>
        <v>0</v>
      </c>
      <c r="K6" s="92">
        <f>Processing!E5*Processing!E33</f>
        <v>0</v>
      </c>
      <c r="L6" s="92">
        <f>Processing!E5*Processing!E34</f>
        <v>0</v>
      </c>
      <c r="M6" s="92">
        <f>Processing!E5*Processing!E35</f>
        <v>0</v>
      </c>
      <c r="N6" s="92">
        <f>Processing!E5*Processing!F24</f>
        <v>0</v>
      </c>
      <c r="O6" s="92">
        <f>Processing!E5*Processing!F25</f>
        <v>0</v>
      </c>
      <c r="P6" s="92">
        <f>Processing!E5*Processing!F26</f>
        <v>0</v>
      </c>
      <c r="Q6" s="92">
        <f>Processing!E5*Processing!F27</f>
        <v>0</v>
      </c>
      <c r="R6" s="92">
        <f>Processing!E5*Processing!F28</f>
        <v>0</v>
      </c>
      <c r="S6" s="92">
        <f>Processing!E5*Processing!F29</f>
        <v>0</v>
      </c>
      <c r="T6" s="92">
        <f>Processing!E5*Processing!F30</f>
        <v>0</v>
      </c>
      <c r="U6" s="92">
        <f>Processing!E5*Processing!F31</f>
        <v>0</v>
      </c>
      <c r="V6" s="92">
        <f>Processing!E5*Processing!F32</f>
        <v>0</v>
      </c>
      <c r="W6" s="92">
        <f>Processing!E5*Processing!F33</f>
        <v>0</v>
      </c>
      <c r="X6" s="92">
        <f>Processing!E5*Processing!F34</f>
        <v>0</v>
      </c>
      <c r="Y6" s="92">
        <f>Processing!E5*Processing!F35</f>
        <v>0</v>
      </c>
      <c r="Z6" s="92">
        <f>Processing!E5*Processing!G24</f>
        <v>0</v>
      </c>
      <c r="AA6" s="92">
        <f>Processing!E5*Processing!G25</f>
        <v>0</v>
      </c>
      <c r="AB6" s="92">
        <f>Processing!E5*Processing!G26</f>
        <v>0</v>
      </c>
      <c r="AC6" s="92">
        <f>Processing!E5*Processing!G27</f>
        <v>0</v>
      </c>
      <c r="AD6" s="92">
        <f>Processing!E5*Processing!G28</f>
        <v>0</v>
      </c>
      <c r="AE6" s="92">
        <f>Processing!E5*Processing!G29</f>
        <v>0</v>
      </c>
      <c r="AF6" s="92">
        <f>Processing!E5*Processing!G30</f>
        <v>0</v>
      </c>
      <c r="AG6" s="92">
        <f>Processing!E5*Processing!G31</f>
        <v>0</v>
      </c>
      <c r="AH6" s="92">
        <f>Processing!E5*Processing!G32</f>
        <v>0</v>
      </c>
      <c r="AI6" s="92">
        <f>Processing!E5*Processing!G33</f>
        <v>0</v>
      </c>
      <c r="AJ6" s="92">
        <f>Processing!E5*Processing!G34</f>
        <v>0</v>
      </c>
      <c r="AK6" s="92">
        <f>Processing!E5*Processing!G35</f>
        <v>0</v>
      </c>
      <c r="AL6" s="45"/>
      <c r="AM6" s="53">
        <f t="shared" ref="AM6:AM11" si="2">SUM(B6:AK6)</f>
        <v>0</v>
      </c>
      <c r="AN6" s="53">
        <f t="shared" ref="AN6:AN11" si="3">SUM(B6:M6)</f>
        <v>0</v>
      </c>
      <c r="AO6" s="53">
        <f t="shared" ref="AO6:AO11" si="4">SUM(N6:Y6)</f>
        <v>0</v>
      </c>
      <c r="AP6" s="53">
        <f t="shared" ref="AP6:AP11" si="5">SUM(Z6:AK6)</f>
        <v>0</v>
      </c>
    </row>
    <row r="7" spans="1:42" x14ac:dyDescent="0.35">
      <c r="A7" s="7">
        <f>Processing!C6</f>
        <v>0</v>
      </c>
      <c r="B7" s="92">
        <f>Processing!E6*Processing!E24</f>
        <v>0</v>
      </c>
      <c r="C7" s="92">
        <f>Processing!E6*Processing!E25</f>
        <v>0</v>
      </c>
      <c r="D7" s="92">
        <f>Processing!E6*Processing!E26</f>
        <v>0</v>
      </c>
      <c r="E7" s="92">
        <f>Processing!E6*Processing!E27</f>
        <v>0</v>
      </c>
      <c r="F7" s="92">
        <f>Processing!E6*Processing!E28</f>
        <v>0</v>
      </c>
      <c r="G7" s="92">
        <f>Processing!E6*Processing!E29</f>
        <v>0</v>
      </c>
      <c r="H7" s="92">
        <f>Processing!E6*Processing!E30</f>
        <v>0</v>
      </c>
      <c r="I7" s="92">
        <f>Processing!E6*Processing!E31</f>
        <v>0</v>
      </c>
      <c r="J7" s="92">
        <f>Processing!E6*Processing!E32</f>
        <v>0</v>
      </c>
      <c r="K7" s="92">
        <f>Processing!E6*Processing!E33</f>
        <v>0</v>
      </c>
      <c r="L7" s="92">
        <f>Processing!E6*Processing!E34</f>
        <v>0</v>
      </c>
      <c r="M7" s="92">
        <f>Processing!E6*Processing!E35</f>
        <v>0</v>
      </c>
      <c r="N7" s="92">
        <f>Processing!E6*Processing!F24</f>
        <v>0</v>
      </c>
      <c r="O7" s="92">
        <f>Processing!E6*Processing!F25</f>
        <v>0</v>
      </c>
      <c r="P7" s="92">
        <f>Processing!E6*Processing!F26</f>
        <v>0</v>
      </c>
      <c r="Q7" s="92">
        <f>Processing!E6*Processing!F27</f>
        <v>0</v>
      </c>
      <c r="R7" s="92">
        <f>Processing!E6*Processing!F28</f>
        <v>0</v>
      </c>
      <c r="S7" s="92">
        <f>Processing!E6*Processing!F29</f>
        <v>0</v>
      </c>
      <c r="T7" s="92">
        <f>Processing!E6*Processing!F30</f>
        <v>0</v>
      </c>
      <c r="U7" s="92">
        <f>Processing!E6*Processing!F31</f>
        <v>0</v>
      </c>
      <c r="V7" s="92">
        <f>Processing!E6*Processing!F32</f>
        <v>0</v>
      </c>
      <c r="W7" s="92">
        <f>Processing!E6*Processing!F33</f>
        <v>0</v>
      </c>
      <c r="X7" s="92">
        <f>Processing!E6*Processing!F34</f>
        <v>0</v>
      </c>
      <c r="Y7" s="92">
        <f>Processing!E6*Processing!F35</f>
        <v>0</v>
      </c>
      <c r="Z7" s="92">
        <f>Processing!E6*Processing!G24</f>
        <v>0</v>
      </c>
      <c r="AA7" s="92">
        <f>Processing!E6*Processing!G25</f>
        <v>0</v>
      </c>
      <c r="AB7" s="92">
        <f>Processing!E6*Processing!G26</f>
        <v>0</v>
      </c>
      <c r="AC7" s="92">
        <f>Processing!E6*Processing!G27</f>
        <v>0</v>
      </c>
      <c r="AD7" s="92">
        <f>Processing!E6*Processing!G28</f>
        <v>0</v>
      </c>
      <c r="AE7" s="92">
        <f>Processing!E6*Processing!G29</f>
        <v>0</v>
      </c>
      <c r="AF7" s="92">
        <f>Processing!E6*Processing!G30</f>
        <v>0</v>
      </c>
      <c r="AG7" s="92">
        <f>Processing!E6*Processing!G31</f>
        <v>0</v>
      </c>
      <c r="AH7" s="92">
        <f>Processing!E6*Processing!G32</f>
        <v>0</v>
      </c>
      <c r="AI7" s="92">
        <f>Processing!E6*Processing!G33</f>
        <v>0</v>
      </c>
      <c r="AJ7" s="92">
        <f>Processing!E6*Processing!G34</f>
        <v>0</v>
      </c>
      <c r="AK7" s="92">
        <f>Processing!E6*Processing!G35</f>
        <v>0</v>
      </c>
      <c r="AL7" s="45"/>
      <c r="AM7" s="53">
        <f t="shared" si="2"/>
        <v>0</v>
      </c>
      <c r="AN7" s="53">
        <f t="shared" si="3"/>
        <v>0</v>
      </c>
      <c r="AO7" s="53">
        <f t="shared" si="4"/>
        <v>0</v>
      </c>
      <c r="AP7" s="53">
        <f t="shared" si="5"/>
        <v>0</v>
      </c>
    </row>
    <row r="8" spans="1:42" x14ac:dyDescent="0.35">
      <c r="A8" s="7">
        <f>Processing!C7</f>
        <v>0</v>
      </c>
      <c r="B8" s="92">
        <f>Processing!E7*Processing!E24</f>
        <v>0</v>
      </c>
      <c r="C8" s="92">
        <f>Processing!E7*Processing!E25</f>
        <v>0</v>
      </c>
      <c r="D8" s="92">
        <f>Processing!E7*Processing!E26</f>
        <v>0</v>
      </c>
      <c r="E8" s="92">
        <f>Processing!E7*Processing!E27</f>
        <v>0</v>
      </c>
      <c r="F8" s="92">
        <f>Processing!E7*Processing!E28</f>
        <v>0</v>
      </c>
      <c r="G8" s="92">
        <f>Processing!E7*Processing!E29</f>
        <v>0</v>
      </c>
      <c r="H8" s="92">
        <f>Processing!E7*Processing!E30</f>
        <v>0</v>
      </c>
      <c r="I8" s="92">
        <f>Processing!E7*Processing!E31</f>
        <v>0</v>
      </c>
      <c r="J8" s="92">
        <f>Processing!E7*Processing!E32</f>
        <v>0</v>
      </c>
      <c r="K8" s="92">
        <f>Processing!E7*Processing!E33</f>
        <v>0</v>
      </c>
      <c r="L8" s="92">
        <f>Processing!E7*Processing!E34</f>
        <v>0</v>
      </c>
      <c r="M8" s="92">
        <f>Processing!E7*Processing!E35</f>
        <v>0</v>
      </c>
      <c r="N8" s="92">
        <f>Processing!E7*Processing!F24</f>
        <v>0</v>
      </c>
      <c r="O8" s="92">
        <f>Processing!E7*Processing!F25</f>
        <v>0</v>
      </c>
      <c r="P8" s="92">
        <f>Processing!E7*Processing!F26</f>
        <v>0</v>
      </c>
      <c r="Q8" s="92">
        <f>Processing!E7*Processing!F27</f>
        <v>0</v>
      </c>
      <c r="R8" s="92">
        <f>Processing!E7*Processing!F28</f>
        <v>0</v>
      </c>
      <c r="S8" s="92">
        <f>Processing!E7*Processing!F29</f>
        <v>0</v>
      </c>
      <c r="T8" s="92">
        <f>Processing!E7*Processing!F30</f>
        <v>0</v>
      </c>
      <c r="U8" s="92">
        <f>Processing!E7*Processing!F31</f>
        <v>0</v>
      </c>
      <c r="V8" s="92">
        <f>Processing!E7*Processing!F32</f>
        <v>0</v>
      </c>
      <c r="W8" s="92">
        <f>Processing!E7*Processing!F33</f>
        <v>0</v>
      </c>
      <c r="X8" s="92">
        <f>Processing!E7*Processing!F34</f>
        <v>0</v>
      </c>
      <c r="Y8" s="92">
        <f>Processing!E7*Processing!F35</f>
        <v>0</v>
      </c>
      <c r="Z8" s="92">
        <f>Processing!E7*Processing!G24</f>
        <v>0</v>
      </c>
      <c r="AA8" s="92">
        <f>Processing!E7*Processing!G25</f>
        <v>0</v>
      </c>
      <c r="AB8" s="92">
        <f>Processing!E7*Processing!G26</f>
        <v>0</v>
      </c>
      <c r="AC8" s="92">
        <f>Processing!E7*Processing!G27</f>
        <v>0</v>
      </c>
      <c r="AD8" s="92">
        <f>Processing!E7*Processing!G28</f>
        <v>0</v>
      </c>
      <c r="AE8" s="92">
        <f>Processing!E7*Processing!G29</f>
        <v>0</v>
      </c>
      <c r="AF8" s="92">
        <f>Processing!E7*Processing!G30</f>
        <v>0</v>
      </c>
      <c r="AG8" s="92">
        <f>Processing!E7*Processing!G31</f>
        <v>0</v>
      </c>
      <c r="AH8" s="92">
        <f>Processing!E7*Processing!G32</f>
        <v>0</v>
      </c>
      <c r="AI8" s="92">
        <f>Processing!E7*Processing!G33</f>
        <v>0</v>
      </c>
      <c r="AJ8" s="92">
        <f>Processing!E7*Processing!G34</f>
        <v>0</v>
      </c>
      <c r="AK8" s="92">
        <f>Processing!E7*Processing!G35</f>
        <v>0</v>
      </c>
      <c r="AL8" s="45"/>
      <c r="AM8" s="53">
        <f t="shared" si="2"/>
        <v>0</v>
      </c>
      <c r="AN8" s="53">
        <f t="shared" si="3"/>
        <v>0</v>
      </c>
      <c r="AO8" s="53">
        <f t="shared" si="4"/>
        <v>0</v>
      </c>
      <c r="AP8" s="53">
        <f t="shared" si="5"/>
        <v>0</v>
      </c>
    </row>
    <row r="9" spans="1:42" x14ac:dyDescent="0.35">
      <c r="A9" s="7">
        <f>Processing!C8</f>
        <v>0</v>
      </c>
      <c r="B9" s="92">
        <f>Processing!E8*Processing!E24</f>
        <v>0</v>
      </c>
      <c r="C9" s="92">
        <f>Processing!E8*Processing!E25</f>
        <v>0</v>
      </c>
      <c r="D9" s="92">
        <f>Processing!E8*Processing!E26</f>
        <v>0</v>
      </c>
      <c r="E9" s="92">
        <f>Processing!E8*Processing!E27</f>
        <v>0</v>
      </c>
      <c r="F9" s="92">
        <f>Processing!E8*Processing!E28</f>
        <v>0</v>
      </c>
      <c r="G9" s="92">
        <f>Processing!E8*Processing!E29</f>
        <v>0</v>
      </c>
      <c r="H9" s="92">
        <f>Processing!E8*Processing!E30</f>
        <v>0</v>
      </c>
      <c r="I9" s="92">
        <f>Processing!E8*Processing!E31</f>
        <v>0</v>
      </c>
      <c r="J9" s="92">
        <f>Processing!E8*Processing!E32</f>
        <v>0</v>
      </c>
      <c r="K9" s="92">
        <f>Processing!E8*Processing!E33</f>
        <v>0</v>
      </c>
      <c r="L9" s="92">
        <f>Processing!E8*Processing!E34</f>
        <v>0</v>
      </c>
      <c r="M9" s="92">
        <f>Processing!E7*Processing!E35</f>
        <v>0</v>
      </c>
      <c r="N9" s="92">
        <f>Processing!E8*Processing!F24</f>
        <v>0</v>
      </c>
      <c r="O9" s="92">
        <f>Processing!E8*Processing!F25</f>
        <v>0</v>
      </c>
      <c r="P9" s="92">
        <f>Processing!E8*Processing!F26</f>
        <v>0</v>
      </c>
      <c r="Q9" s="92">
        <f>Processing!E8*Processing!F27</f>
        <v>0</v>
      </c>
      <c r="R9" s="92">
        <f>Processing!E8*Processing!F28</f>
        <v>0</v>
      </c>
      <c r="S9" s="92">
        <f>Processing!E8*Processing!F29</f>
        <v>0</v>
      </c>
      <c r="T9" s="92">
        <f>Processing!E8*Processing!F30</f>
        <v>0</v>
      </c>
      <c r="U9" s="92">
        <f>Processing!E8*Processing!F31</f>
        <v>0</v>
      </c>
      <c r="V9" s="92">
        <f>Processing!E8*Processing!F32</f>
        <v>0</v>
      </c>
      <c r="W9" s="92">
        <f>Processing!E8*Processing!F33</f>
        <v>0</v>
      </c>
      <c r="X9" s="92">
        <f>Processing!E8*Processing!F34</f>
        <v>0</v>
      </c>
      <c r="Y9" s="92">
        <f>Processing!E8*Processing!F35</f>
        <v>0</v>
      </c>
      <c r="Z9" s="92">
        <f>Processing!E8*Processing!G24</f>
        <v>0</v>
      </c>
      <c r="AA9" s="92">
        <f>Processing!E8*Processing!G25</f>
        <v>0</v>
      </c>
      <c r="AB9" s="92">
        <f>Processing!E8*Processing!G26</f>
        <v>0</v>
      </c>
      <c r="AC9" s="92">
        <f>Processing!E8*Processing!G27</f>
        <v>0</v>
      </c>
      <c r="AD9" s="92">
        <f>Processing!E8*Processing!G28</f>
        <v>0</v>
      </c>
      <c r="AE9" s="92">
        <f>Processing!E8*Processing!G29</f>
        <v>0</v>
      </c>
      <c r="AF9" s="92">
        <f>Processing!E8*Processing!G30</f>
        <v>0</v>
      </c>
      <c r="AG9" s="92">
        <f>Processing!E8*Processing!G31</f>
        <v>0</v>
      </c>
      <c r="AH9" s="92">
        <f>Processing!E8*Processing!G32</f>
        <v>0</v>
      </c>
      <c r="AI9" s="92">
        <f>Processing!E8*Processing!G33</f>
        <v>0</v>
      </c>
      <c r="AJ9" s="92">
        <f>Processing!E8*Processing!G34</f>
        <v>0</v>
      </c>
      <c r="AK9" s="92">
        <f>Processing!E8*Processing!G35</f>
        <v>0</v>
      </c>
      <c r="AL9" s="45"/>
      <c r="AM9" s="53">
        <f t="shared" si="2"/>
        <v>0</v>
      </c>
      <c r="AN9" s="53">
        <f t="shared" si="3"/>
        <v>0</v>
      </c>
      <c r="AO9" s="53">
        <f t="shared" si="4"/>
        <v>0</v>
      </c>
      <c r="AP9" s="53">
        <f t="shared" si="5"/>
        <v>0</v>
      </c>
    </row>
    <row r="10" spans="1:42" x14ac:dyDescent="0.35">
      <c r="A10" s="7">
        <f>Processing!C9</f>
        <v>0</v>
      </c>
      <c r="B10" s="92">
        <f>Processing!E9*Processing!E24</f>
        <v>0</v>
      </c>
      <c r="C10" s="92">
        <f>Processing!E9*Processing!E25</f>
        <v>0</v>
      </c>
      <c r="D10" s="92">
        <f>Processing!E9*Processing!E26</f>
        <v>0</v>
      </c>
      <c r="E10" s="92">
        <f>Processing!E9*Processing!E27</f>
        <v>0</v>
      </c>
      <c r="F10" s="92">
        <f>Processing!E9*Processing!E28</f>
        <v>0</v>
      </c>
      <c r="G10" s="92">
        <f>Processing!E9*Processing!E29</f>
        <v>0</v>
      </c>
      <c r="H10" s="92">
        <f>Processing!E9*Processing!E30</f>
        <v>0</v>
      </c>
      <c r="I10" s="92">
        <f>Processing!E9*Processing!E31</f>
        <v>0</v>
      </c>
      <c r="J10" s="92">
        <f>Processing!E9*Processing!E32</f>
        <v>0</v>
      </c>
      <c r="K10" s="92">
        <f>Processing!E9*Processing!E33</f>
        <v>0</v>
      </c>
      <c r="L10" s="92">
        <f>Processing!E9*Processing!E34</f>
        <v>0</v>
      </c>
      <c r="M10" s="92">
        <f>Processing!E9*Processing!E35</f>
        <v>0</v>
      </c>
      <c r="N10" s="92">
        <f>Processing!E9*Processing!F24</f>
        <v>0</v>
      </c>
      <c r="O10" s="92">
        <f>Processing!E9*Processing!F25</f>
        <v>0</v>
      </c>
      <c r="P10" s="92">
        <f>Processing!E9*Processing!F26</f>
        <v>0</v>
      </c>
      <c r="Q10" s="92">
        <f>Processing!E9*Processing!F27</f>
        <v>0</v>
      </c>
      <c r="R10" s="92">
        <f>Processing!E9*Processing!F28</f>
        <v>0</v>
      </c>
      <c r="S10" s="92">
        <f>Processing!E9*Processing!F29</f>
        <v>0</v>
      </c>
      <c r="T10" s="92">
        <f>Processing!E9*Processing!F30</f>
        <v>0</v>
      </c>
      <c r="U10" s="92">
        <f>Processing!E9*Processing!F31</f>
        <v>0</v>
      </c>
      <c r="V10" s="92">
        <f>Processing!E9*Processing!F32</f>
        <v>0</v>
      </c>
      <c r="W10" s="92">
        <f>Processing!E9*Processing!F33</f>
        <v>0</v>
      </c>
      <c r="X10" s="92">
        <f>Processing!E9*Processing!F34</f>
        <v>0</v>
      </c>
      <c r="Y10" s="92">
        <f>Processing!E9*Processing!F35</f>
        <v>0</v>
      </c>
      <c r="Z10" s="92">
        <f>Processing!E9*Processing!G24</f>
        <v>0</v>
      </c>
      <c r="AA10" s="92">
        <f>Processing!E9*Processing!G25</f>
        <v>0</v>
      </c>
      <c r="AB10" s="92">
        <f>Processing!E9*Processing!G26</f>
        <v>0</v>
      </c>
      <c r="AC10" s="92">
        <f>Processing!E9*Processing!G27</f>
        <v>0</v>
      </c>
      <c r="AD10" s="92">
        <f>Processing!E9*Processing!G28</f>
        <v>0</v>
      </c>
      <c r="AE10" s="92">
        <f>Processing!E9*Processing!G29</f>
        <v>0</v>
      </c>
      <c r="AF10" s="92">
        <f>Processing!E9*Processing!G30</f>
        <v>0</v>
      </c>
      <c r="AG10" s="92">
        <f>Processing!E9*Processing!G31</f>
        <v>0</v>
      </c>
      <c r="AH10" s="92">
        <f>Processing!E9*Processing!G32</f>
        <v>0</v>
      </c>
      <c r="AI10" s="92">
        <f>Processing!E9*Processing!G33</f>
        <v>0</v>
      </c>
      <c r="AJ10" s="92">
        <f>Processing!E9*Processing!G34</f>
        <v>0</v>
      </c>
      <c r="AK10" s="92">
        <f>Processing!E9*Processing!G35</f>
        <v>0</v>
      </c>
      <c r="AL10" s="45"/>
      <c r="AM10" s="53">
        <f t="shared" si="2"/>
        <v>0</v>
      </c>
      <c r="AN10" s="53">
        <f t="shared" si="3"/>
        <v>0</v>
      </c>
      <c r="AO10" s="53">
        <f t="shared" si="4"/>
        <v>0</v>
      </c>
      <c r="AP10" s="53">
        <f t="shared" si="5"/>
        <v>0</v>
      </c>
    </row>
    <row r="11" spans="1:42" s="2" customFormat="1" x14ac:dyDescent="0.35">
      <c r="A11" s="96" t="s">
        <v>0</v>
      </c>
      <c r="B11" s="129">
        <f>SUM(B6:B10)</f>
        <v>0</v>
      </c>
      <c r="C11" s="129">
        <f t="shared" ref="C11:M11" si="6">SUM(C6:C10)</f>
        <v>0</v>
      </c>
      <c r="D11" s="129">
        <f t="shared" si="6"/>
        <v>0</v>
      </c>
      <c r="E11" s="129">
        <f t="shared" si="6"/>
        <v>0</v>
      </c>
      <c r="F11" s="129">
        <f t="shared" si="6"/>
        <v>0</v>
      </c>
      <c r="G11" s="129">
        <f t="shared" si="6"/>
        <v>0</v>
      </c>
      <c r="H11" s="129">
        <f t="shared" si="6"/>
        <v>0</v>
      </c>
      <c r="I11" s="129">
        <f t="shared" si="6"/>
        <v>0</v>
      </c>
      <c r="J11" s="129">
        <f t="shared" si="6"/>
        <v>0</v>
      </c>
      <c r="K11" s="129">
        <f t="shared" si="6"/>
        <v>0</v>
      </c>
      <c r="L11" s="129">
        <f t="shared" si="6"/>
        <v>0</v>
      </c>
      <c r="M11" s="129">
        <f t="shared" si="6"/>
        <v>0</v>
      </c>
      <c r="N11" s="129">
        <f>SUM(N6:N10)</f>
        <v>0</v>
      </c>
      <c r="O11" s="129">
        <f>SUM(O6:O10)</f>
        <v>0</v>
      </c>
      <c r="P11" s="129">
        <f t="shared" ref="P11:Y11" si="7">SUM(P6:P10)</f>
        <v>0</v>
      </c>
      <c r="Q11" s="129">
        <f t="shared" si="7"/>
        <v>0</v>
      </c>
      <c r="R11" s="129">
        <f t="shared" si="7"/>
        <v>0</v>
      </c>
      <c r="S11" s="129">
        <f t="shared" si="7"/>
        <v>0</v>
      </c>
      <c r="T11" s="129">
        <f t="shared" si="7"/>
        <v>0</v>
      </c>
      <c r="U11" s="129">
        <f t="shared" si="7"/>
        <v>0</v>
      </c>
      <c r="V11" s="129">
        <f t="shared" si="7"/>
        <v>0</v>
      </c>
      <c r="W11" s="129">
        <f t="shared" si="7"/>
        <v>0</v>
      </c>
      <c r="X11" s="129">
        <f t="shared" si="7"/>
        <v>0</v>
      </c>
      <c r="Y11" s="129">
        <f t="shared" si="7"/>
        <v>0</v>
      </c>
      <c r="Z11" s="129">
        <f t="shared" ref="Z11:AK11" si="8">SUM(Z6:Z10)</f>
        <v>0</v>
      </c>
      <c r="AA11" s="129">
        <f t="shared" si="8"/>
        <v>0</v>
      </c>
      <c r="AB11" s="129">
        <f t="shared" si="8"/>
        <v>0</v>
      </c>
      <c r="AC11" s="129">
        <f t="shared" si="8"/>
        <v>0</v>
      </c>
      <c r="AD11" s="129">
        <f t="shared" si="8"/>
        <v>0</v>
      </c>
      <c r="AE11" s="129">
        <f t="shared" si="8"/>
        <v>0</v>
      </c>
      <c r="AF11" s="129">
        <f t="shared" si="8"/>
        <v>0</v>
      </c>
      <c r="AG11" s="129">
        <f t="shared" si="8"/>
        <v>0</v>
      </c>
      <c r="AH11" s="129">
        <f t="shared" si="8"/>
        <v>0</v>
      </c>
      <c r="AI11" s="129">
        <f t="shared" si="8"/>
        <v>0</v>
      </c>
      <c r="AJ11" s="129">
        <f t="shared" si="8"/>
        <v>0</v>
      </c>
      <c r="AK11" s="129">
        <f t="shared" si="8"/>
        <v>0</v>
      </c>
      <c r="AL11" s="46"/>
      <c r="AM11" s="132">
        <f t="shared" si="2"/>
        <v>0</v>
      </c>
      <c r="AN11" s="132">
        <f t="shared" si="3"/>
        <v>0</v>
      </c>
      <c r="AO11" s="132">
        <f t="shared" si="4"/>
        <v>0</v>
      </c>
      <c r="AP11" s="132">
        <f t="shared" si="5"/>
        <v>0</v>
      </c>
    </row>
    <row r="12" spans="1:42" s="2" customFormat="1" x14ac:dyDescent="0.35">
      <c r="A12" s="19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46"/>
      <c r="AM12" s="53"/>
      <c r="AN12" s="53"/>
      <c r="AO12" s="53"/>
      <c r="AP12" s="53"/>
    </row>
    <row r="13" spans="1:42" s="2" customFormat="1" x14ac:dyDescent="0.35">
      <c r="A13" s="97" t="s">
        <v>1</v>
      </c>
      <c r="B13" s="93" t="e">
        <f>Processing!P24</f>
        <v>#DIV/0!</v>
      </c>
      <c r="C13" s="93" t="e">
        <f>Processing!P25</f>
        <v>#DIV/0!</v>
      </c>
      <c r="D13" s="93" t="e">
        <f>Processing!P26</f>
        <v>#DIV/0!</v>
      </c>
      <c r="E13" s="93" t="e">
        <f>Processing!P27</f>
        <v>#DIV/0!</v>
      </c>
      <c r="F13" s="93" t="e">
        <f>Processing!P28</f>
        <v>#DIV/0!</v>
      </c>
      <c r="G13" s="93" t="e">
        <f>Processing!P29</f>
        <v>#DIV/0!</v>
      </c>
      <c r="H13" s="93" t="e">
        <f>Processing!P30</f>
        <v>#DIV/0!</v>
      </c>
      <c r="I13" s="93" t="e">
        <f>Processing!P31</f>
        <v>#DIV/0!</v>
      </c>
      <c r="J13" s="93" t="e">
        <f>Processing!P32</f>
        <v>#DIV/0!</v>
      </c>
      <c r="K13" s="93" t="e">
        <f>Processing!P33</f>
        <v>#DIV/0!</v>
      </c>
      <c r="L13" s="93" t="e">
        <f>Processing!P34</f>
        <v>#DIV/0!</v>
      </c>
      <c r="M13" s="93" t="e">
        <f>Processing!P35</f>
        <v>#DIV/0!</v>
      </c>
      <c r="N13" s="93" t="e">
        <f>B13*(100%+Processing!O18)</f>
        <v>#DIV/0!</v>
      </c>
      <c r="O13" s="93" t="e">
        <f>C13*(100%+Processing!O18)</f>
        <v>#DIV/0!</v>
      </c>
      <c r="P13" s="93" t="e">
        <f>D13*(100%+Processing!O18)</f>
        <v>#DIV/0!</v>
      </c>
      <c r="Q13" s="93" t="e">
        <f>E13*(100%+Processing!O18)</f>
        <v>#DIV/0!</v>
      </c>
      <c r="R13" s="93" t="e">
        <f>F13*(100%+Processing!O18)</f>
        <v>#DIV/0!</v>
      </c>
      <c r="S13" s="93" t="e">
        <f>G13*(100%+Processing!O18)</f>
        <v>#DIV/0!</v>
      </c>
      <c r="T13" s="93" t="e">
        <f>H13*(100%+Processing!O18)</f>
        <v>#DIV/0!</v>
      </c>
      <c r="U13" s="93" t="e">
        <f>I13*(100%+Processing!O18)</f>
        <v>#DIV/0!</v>
      </c>
      <c r="V13" s="93" t="e">
        <f>J13*(100%+Processing!O18)</f>
        <v>#DIV/0!</v>
      </c>
      <c r="W13" s="93" t="e">
        <f>K13*(100%+Processing!O18)</f>
        <v>#DIV/0!</v>
      </c>
      <c r="X13" s="93" t="e">
        <f>L13*(100%+Processing!O18)</f>
        <v>#DIV/0!</v>
      </c>
      <c r="Y13" s="93" t="e">
        <f>M13*(100%+Processing!O18)</f>
        <v>#DIV/0!</v>
      </c>
      <c r="Z13" s="93" t="e">
        <f>N13*(100%+Processing!O19)</f>
        <v>#DIV/0!</v>
      </c>
      <c r="AA13" s="93" t="e">
        <f>O13*(100%+Processing!O19)</f>
        <v>#DIV/0!</v>
      </c>
      <c r="AB13" s="93" t="e">
        <f>P13*(100%+Processing!O19)</f>
        <v>#DIV/0!</v>
      </c>
      <c r="AC13" s="93" t="e">
        <f>Q13*(100%+Processing!O19)</f>
        <v>#DIV/0!</v>
      </c>
      <c r="AD13" s="93" t="e">
        <f>R13*(100%+Processing!O19)</f>
        <v>#DIV/0!</v>
      </c>
      <c r="AE13" s="93" t="e">
        <f>S13*(100%+Processing!O19)</f>
        <v>#DIV/0!</v>
      </c>
      <c r="AF13" s="93" t="e">
        <f>T13*(100%+Processing!O19)</f>
        <v>#DIV/0!</v>
      </c>
      <c r="AG13" s="93" t="e">
        <f>U13*(100%+Processing!O19)</f>
        <v>#DIV/0!</v>
      </c>
      <c r="AH13" s="93" t="e">
        <f>V13*(100%+Processing!O19)</f>
        <v>#DIV/0!</v>
      </c>
      <c r="AI13" s="93" t="e">
        <f>W13*(100%+Processing!O19)</f>
        <v>#DIV/0!</v>
      </c>
      <c r="AJ13" s="93" t="e">
        <f>X13*(100%+Processing!O19)</f>
        <v>#DIV/0!</v>
      </c>
      <c r="AK13" s="93" t="e">
        <f>Y13*(100%+Processing!O19)</f>
        <v>#DIV/0!</v>
      </c>
      <c r="AL13" s="46"/>
      <c r="AM13" s="53" t="e">
        <f>SUM(B13:AK13)</f>
        <v>#DIV/0!</v>
      </c>
      <c r="AN13" s="53" t="e">
        <f>SUM(B13:M13)</f>
        <v>#DIV/0!</v>
      </c>
      <c r="AO13" s="53" t="e">
        <f>SUM(N13:Y13)</f>
        <v>#DIV/0!</v>
      </c>
      <c r="AP13" s="53" t="e">
        <f>SUM(Z13:AK13)</f>
        <v>#DIV/0!</v>
      </c>
    </row>
    <row r="14" spans="1:42" s="2" customFormat="1" x14ac:dyDescent="0.35">
      <c r="A14" s="19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46"/>
      <c r="AM14" s="53"/>
      <c r="AN14" s="53"/>
      <c r="AO14" s="53"/>
      <c r="AP14" s="53"/>
    </row>
    <row r="15" spans="1:42" x14ac:dyDescent="0.35">
      <c r="A15" s="4" t="str">
        <f>Processing!T4</f>
        <v>Biaya Akuisisi Pelanggan</v>
      </c>
      <c r="B15" s="93">
        <f>Processing!Q24</f>
        <v>0</v>
      </c>
      <c r="C15" s="93">
        <f>Processing!Q25</f>
        <v>0</v>
      </c>
      <c r="D15" s="93">
        <f>Processing!Q26</f>
        <v>0</v>
      </c>
      <c r="E15" s="93">
        <f>Processing!Q27</f>
        <v>0</v>
      </c>
      <c r="F15" s="93">
        <f>Processing!Q28</f>
        <v>0</v>
      </c>
      <c r="G15" s="93">
        <f>Processing!Q29</f>
        <v>0</v>
      </c>
      <c r="H15" s="93">
        <f>Processing!Q30</f>
        <v>0</v>
      </c>
      <c r="I15" s="93">
        <f>Processing!Q31</f>
        <v>0</v>
      </c>
      <c r="J15" s="93">
        <f>Processing!Q32</f>
        <v>0</v>
      </c>
      <c r="K15" s="93">
        <f>Processing!Q33</f>
        <v>0</v>
      </c>
      <c r="L15" s="93">
        <f>Processing!Q34</f>
        <v>0</v>
      </c>
      <c r="M15" s="93">
        <f>Processing!Q35</f>
        <v>0</v>
      </c>
      <c r="N15" s="93">
        <f>B15*(100%+Processing!O18)</f>
        <v>0</v>
      </c>
      <c r="O15" s="93">
        <f>C15*(100%+Processing!O18)</f>
        <v>0</v>
      </c>
      <c r="P15" s="93">
        <f>D15*(100%+Processing!O18)</f>
        <v>0</v>
      </c>
      <c r="Q15" s="93">
        <f>E15*(100%+Processing!O18)</f>
        <v>0</v>
      </c>
      <c r="R15" s="93">
        <f>F15*(100%+Processing!O18)</f>
        <v>0</v>
      </c>
      <c r="S15" s="93">
        <f>G15*(100%+Processing!O18)</f>
        <v>0</v>
      </c>
      <c r="T15" s="93">
        <f>H15*(100%+Processing!O18)</f>
        <v>0</v>
      </c>
      <c r="U15" s="93">
        <f>I15*(100%+Processing!O18)</f>
        <v>0</v>
      </c>
      <c r="V15" s="93">
        <f>J15*(100%+Processing!O18)</f>
        <v>0</v>
      </c>
      <c r="W15" s="93">
        <f>K15*(100%+Processing!O18)</f>
        <v>0</v>
      </c>
      <c r="X15" s="93">
        <f>L15*(100%+Processing!O18)</f>
        <v>0</v>
      </c>
      <c r="Y15" s="93">
        <f>M15*(100%+Processing!O18)</f>
        <v>0</v>
      </c>
      <c r="Z15" s="93">
        <f>N15*(100%+Processing!O19)</f>
        <v>0</v>
      </c>
      <c r="AA15" s="93">
        <f>O15*(100%+Processing!O19)</f>
        <v>0</v>
      </c>
      <c r="AB15" s="93">
        <f>P15*(100%+Processing!O19)</f>
        <v>0</v>
      </c>
      <c r="AC15" s="93">
        <f>Q15*(100%+Processing!O19)</f>
        <v>0</v>
      </c>
      <c r="AD15" s="93">
        <f>R15*(100%+Processing!O19)</f>
        <v>0</v>
      </c>
      <c r="AE15" s="93">
        <f>S15*(100%+Processing!O19)</f>
        <v>0</v>
      </c>
      <c r="AF15" s="93">
        <f>T15*(100%+Processing!O19)</f>
        <v>0</v>
      </c>
      <c r="AG15" s="93">
        <f>U15*(100%+Processing!O19)</f>
        <v>0</v>
      </c>
      <c r="AH15" s="93">
        <f>V15*(100%+Processing!O19)</f>
        <v>0</v>
      </c>
      <c r="AI15" s="93">
        <f>W15*(100%+Processing!O19)</f>
        <v>0</v>
      </c>
      <c r="AJ15" s="93">
        <f>X15*(100%+Processing!O19)</f>
        <v>0</v>
      </c>
      <c r="AK15" s="93">
        <f>Y15*(100%+Processing!O19)</f>
        <v>0</v>
      </c>
      <c r="AL15" s="46"/>
      <c r="AM15" s="27">
        <f>SUM(B15:AK15)</f>
        <v>0</v>
      </c>
      <c r="AN15" s="53">
        <f t="shared" ref="AN15:AN34" si="9">SUM(B15:M15)</f>
        <v>0</v>
      </c>
      <c r="AO15" s="53">
        <f t="shared" ref="AO15:AO34" si="10">SUM(N15:Y15)</f>
        <v>0</v>
      </c>
      <c r="AP15" s="53">
        <f t="shared" ref="AP15:AP34" si="11">SUM(Z15:AK15)</f>
        <v>0</v>
      </c>
    </row>
    <row r="16" spans="1:42" x14ac:dyDescent="0.35">
      <c r="A16" s="4" t="str">
        <f>Processing!T5</f>
        <v>Biaya Gaji</v>
      </c>
      <c r="B16" s="93">
        <f>Processing!R24</f>
        <v>0</v>
      </c>
      <c r="C16" s="93">
        <f>Processing!R25</f>
        <v>0</v>
      </c>
      <c r="D16" s="93">
        <f>Processing!R26</f>
        <v>0</v>
      </c>
      <c r="E16" s="93">
        <f>Processing!R27</f>
        <v>0</v>
      </c>
      <c r="F16" s="93">
        <f>Processing!R28</f>
        <v>0</v>
      </c>
      <c r="G16" s="93">
        <f>Processing!R29</f>
        <v>0</v>
      </c>
      <c r="H16" s="93">
        <f>Processing!R30</f>
        <v>0</v>
      </c>
      <c r="I16" s="93">
        <f>Processing!R31</f>
        <v>0</v>
      </c>
      <c r="J16" s="93">
        <f>Processing!R32</f>
        <v>0</v>
      </c>
      <c r="K16" s="93">
        <f>Processing!R33</f>
        <v>0</v>
      </c>
      <c r="L16" s="93">
        <f>Processing!R34</f>
        <v>0</v>
      </c>
      <c r="M16" s="93">
        <f>Processing!R35</f>
        <v>0</v>
      </c>
      <c r="N16" s="93">
        <f>B16*(100%+Processing!O18)</f>
        <v>0</v>
      </c>
      <c r="O16" s="93">
        <f>C16*(100%+Processing!O18)</f>
        <v>0</v>
      </c>
      <c r="P16" s="93">
        <f>D16*(100%+Processing!O18)</f>
        <v>0</v>
      </c>
      <c r="Q16" s="93">
        <f>E16*(100%+Processing!O18)</f>
        <v>0</v>
      </c>
      <c r="R16" s="93">
        <f>F16*(100%+Processing!O18)</f>
        <v>0</v>
      </c>
      <c r="S16" s="93">
        <f>G16*(100%+Processing!O18)</f>
        <v>0</v>
      </c>
      <c r="T16" s="93">
        <f>H16*(100%+Processing!O18)</f>
        <v>0</v>
      </c>
      <c r="U16" s="93">
        <f>I16*(100%+Processing!O18)</f>
        <v>0</v>
      </c>
      <c r="V16" s="93">
        <f>J16*(100%+Processing!O18)</f>
        <v>0</v>
      </c>
      <c r="W16" s="93">
        <f>K16*(100%+Processing!O18)</f>
        <v>0</v>
      </c>
      <c r="X16" s="93">
        <f>L16*(100%+Processing!O18)</f>
        <v>0</v>
      </c>
      <c r="Y16" s="93">
        <f>M16*(100%+Processing!O18)</f>
        <v>0</v>
      </c>
      <c r="Z16" s="93">
        <f>N16*(100%+Processing!O19)</f>
        <v>0</v>
      </c>
      <c r="AA16" s="93">
        <f>O16*(100%+Processing!O19)</f>
        <v>0</v>
      </c>
      <c r="AB16" s="93">
        <f>P16*(100%+Processing!O19)</f>
        <v>0</v>
      </c>
      <c r="AC16" s="93">
        <f>Q16*(100%+Processing!O19)</f>
        <v>0</v>
      </c>
      <c r="AD16" s="93">
        <f>R16*(100%+Processing!O19)</f>
        <v>0</v>
      </c>
      <c r="AE16" s="93">
        <f>S16*(100%+Processing!O19)</f>
        <v>0</v>
      </c>
      <c r="AF16" s="93">
        <f>T16*(100%+Processing!O19)</f>
        <v>0</v>
      </c>
      <c r="AG16" s="93">
        <f>U16*(100%+Processing!O19)</f>
        <v>0</v>
      </c>
      <c r="AH16" s="93">
        <f>V16*(100%+Processing!O19)</f>
        <v>0</v>
      </c>
      <c r="AI16" s="93">
        <f>W16*(100%+Processing!O19)</f>
        <v>0</v>
      </c>
      <c r="AJ16" s="93">
        <f>X16*(100%+Processing!O19)</f>
        <v>0</v>
      </c>
      <c r="AK16" s="93">
        <f>Y16*(100%+Processing!O19)</f>
        <v>0</v>
      </c>
      <c r="AL16" s="46"/>
      <c r="AM16" s="27">
        <f t="shared" ref="AM16:AM32" si="12">SUM(B16:AK16)</f>
        <v>0</v>
      </c>
      <c r="AN16" s="53">
        <f t="shared" si="9"/>
        <v>0</v>
      </c>
      <c r="AO16" s="53">
        <f t="shared" si="10"/>
        <v>0</v>
      </c>
      <c r="AP16" s="53">
        <f t="shared" si="11"/>
        <v>0</v>
      </c>
    </row>
    <row r="17" spans="1:42" x14ac:dyDescent="0.35">
      <c r="A17" s="4">
        <f>Processing!T6</f>
        <v>0</v>
      </c>
      <c r="B17" s="93">
        <f>Processing!S24</f>
        <v>0</v>
      </c>
      <c r="C17" s="93">
        <f>Processing!S25</f>
        <v>0</v>
      </c>
      <c r="D17" s="93">
        <f>Processing!S26</f>
        <v>0</v>
      </c>
      <c r="E17" s="93">
        <f>Processing!S27</f>
        <v>0</v>
      </c>
      <c r="F17" s="93">
        <f>Processing!S28</f>
        <v>0</v>
      </c>
      <c r="G17" s="93">
        <f>Processing!S29</f>
        <v>0</v>
      </c>
      <c r="H17" s="93">
        <f>Processing!S30</f>
        <v>0</v>
      </c>
      <c r="I17" s="93">
        <f>Processing!S31</f>
        <v>0</v>
      </c>
      <c r="J17" s="93">
        <f>Processing!S32</f>
        <v>0</v>
      </c>
      <c r="K17" s="93">
        <f>Processing!S33</f>
        <v>0</v>
      </c>
      <c r="L17" s="93">
        <f>Processing!S34</f>
        <v>0</v>
      </c>
      <c r="M17" s="93">
        <f>Processing!S35</f>
        <v>0</v>
      </c>
      <c r="N17" s="93">
        <f>B17*(100%+Processing!O18)</f>
        <v>0</v>
      </c>
      <c r="O17" s="93">
        <f>C17*(100%+Processing!O18)</f>
        <v>0</v>
      </c>
      <c r="P17" s="93">
        <f>D17*(100%+Processing!O18)</f>
        <v>0</v>
      </c>
      <c r="Q17" s="93">
        <f>E17*(100%+Processing!O18)</f>
        <v>0</v>
      </c>
      <c r="R17" s="93">
        <f>F17*(100%+Processing!O18)</f>
        <v>0</v>
      </c>
      <c r="S17" s="93">
        <f>G17*(100%+Processing!O18)</f>
        <v>0</v>
      </c>
      <c r="T17" s="93">
        <f>H17*(100%+Processing!O18)</f>
        <v>0</v>
      </c>
      <c r="U17" s="93">
        <f>I17*(100%+Processing!O18)</f>
        <v>0</v>
      </c>
      <c r="V17" s="93">
        <f>J17*(100%+Processing!O18)</f>
        <v>0</v>
      </c>
      <c r="W17" s="93">
        <f>K17*(100%+Processing!O18)</f>
        <v>0</v>
      </c>
      <c r="X17" s="93">
        <f>L17*(100%+Processing!O18)</f>
        <v>0</v>
      </c>
      <c r="Y17" s="93">
        <f>M17*(100%+Processing!O18)</f>
        <v>0</v>
      </c>
      <c r="Z17" s="93">
        <f>N17*(100%+Processing!O19)</f>
        <v>0</v>
      </c>
      <c r="AA17" s="93">
        <f>O17*(100%+Processing!O19)</f>
        <v>0</v>
      </c>
      <c r="AB17" s="93">
        <f>P17*(100%+Processing!O19)</f>
        <v>0</v>
      </c>
      <c r="AC17" s="93">
        <f>Q17*(100%+Processing!O19)</f>
        <v>0</v>
      </c>
      <c r="AD17" s="93">
        <f>R17*(100%+Processing!O19)</f>
        <v>0</v>
      </c>
      <c r="AE17" s="93">
        <f>S17*(100%+Processing!O19)</f>
        <v>0</v>
      </c>
      <c r="AF17" s="93">
        <f>T17*(100%+Processing!O19)</f>
        <v>0</v>
      </c>
      <c r="AG17" s="93">
        <f>U17*(100%+Processing!O19)</f>
        <v>0</v>
      </c>
      <c r="AH17" s="93">
        <f>V17*(100%+Processing!O19)</f>
        <v>0</v>
      </c>
      <c r="AI17" s="93">
        <f>W17*(100%+Processing!O19)</f>
        <v>0</v>
      </c>
      <c r="AJ17" s="93">
        <f>X17*(100%+Processing!O19)</f>
        <v>0</v>
      </c>
      <c r="AK17" s="93">
        <f>Y17*(100%+Processing!O19)</f>
        <v>0</v>
      </c>
      <c r="AL17" s="46"/>
      <c r="AM17" s="27">
        <f t="shared" si="12"/>
        <v>0</v>
      </c>
      <c r="AN17" s="53">
        <f t="shared" si="9"/>
        <v>0</v>
      </c>
      <c r="AO17" s="53">
        <f t="shared" si="10"/>
        <v>0</v>
      </c>
      <c r="AP17" s="53">
        <f t="shared" si="11"/>
        <v>0</v>
      </c>
    </row>
    <row r="18" spans="1:42" x14ac:dyDescent="0.35">
      <c r="A18" s="4">
        <f>Processing!T7</f>
        <v>0</v>
      </c>
      <c r="B18" s="93">
        <f>Processing!T24</f>
        <v>0</v>
      </c>
      <c r="C18" s="93">
        <f>Processing!T25</f>
        <v>0</v>
      </c>
      <c r="D18" s="93">
        <f>Processing!T26</f>
        <v>0</v>
      </c>
      <c r="E18" s="93">
        <f>Processing!T27</f>
        <v>0</v>
      </c>
      <c r="F18" s="93">
        <f>Processing!T28</f>
        <v>0</v>
      </c>
      <c r="G18" s="93">
        <f>Processing!T29</f>
        <v>0</v>
      </c>
      <c r="H18" s="93">
        <f>Processing!T30</f>
        <v>0</v>
      </c>
      <c r="I18" s="93">
        <f>Processing!T31</f>
        <v>0</v>
      </c>
      <c r="J18" s="93">
        <f>Processing!T32</f>
        <v>0</v>
      </c>
      <c r="K18" s="93">
        <f>Processing!T33</f>
        <v>0</v>
      </c>
      <c r="L18" s="93">
        <f>Processing!T34</f>
        <v>0</v>
      </c>
      <c r="M18" s="93">
        <f>Processing!T35</f>
        <v>0</v>
      </c>
      <c r="N18" s="93">
        <f>B18*(100%+Processing!O18)</f>
        <v>0</v>
      </c>
      <c r="O18" s="93">
        <f>C18*(100%+Processing!O18)</f>
        <v>0</v>
      </c>
      <c r="P18" s="93">
        <f>D18*(100%+Processing!O18)</f>
        <v>0</v>
      </c>
      <c r="Q18" s="93">
        <f>E18*(100%+Processing!O18)</f>
        <v>0</v>
      </c>
      <c r="R18" s="93">
        <f>F18*(100%+Processing!O18)</f>
        <v>0</v>
      </c>
      <c r="S18" s="93">
        <f>G18*(100%+Processing!O18)</f>
        <v>0</v>
      </c>
      <c r="T18" s="93">
        <f>H18*(100%+Processing!O18)</f>
        <v>0</v>
      </c>
      <c r="U18" s="93">
        <f>I18*(100%+Processing!O18)</f>
        <v>0</v>
      </c>
      <c r="V18" s="93">
        <f>J18*(100%+Processing!O18)</f>
        <v>0</v>
      </c>
      <c r="W18" s="93">
        <f>K18*(100%+Processing!O18)</f>
        <v>0</v>
      </c>
      <c r="X18" s="93">
        <f>L18*(100%+Processing!O18)</f>
        <v>0</v>
      </c>
      <c r="Y18" s="93">
        <f>M18*(100%+Processing!O18)</f>
        <v>0</v>
      </c>
      <c r="Z18" s="93">
        <f>N18*(100%+Processing!O19)</f>
        <v>0</v>
      </c>
      <c r="AA18" s="93">
        <f>O18*(100%+Processing!O19)</f>
        <v>0</v>
      </c>
      <c r="AB18" s="93">
        <f>P18*(100%+Processing!O19)</f>
        <v>0</v>
      </c>
      <c r="AC18" s="93">
        <f>Q18*(100%+Processing!O19)</f>
        <v>0</v>
      </c>
      <c r="AD18" s="93">
        <f>R18*(100%+Processing!O19)</f>
        <v>0</v>
      </c>
      <c r="AE18" s="93">
        <f>S18*(100%+Processing!O19)</f>
        <v>0</v>
      </c>
      <c r="AF18" s="93">
        <f>T18*(100%+Processing!O19)</f>
        <v>0</v>
      </c>
      <c r="AG18" s="93">
        <f>U18*(100%+Processing!O19)</f>
        <v>0</v>
      </c>
      <c r="AH18" s="93">
        <f>V18*(100%+Processing!O19)</f>
        <v>0</v>
      </c>
      <c r="AI18" s="93">
        <f>W18*(100%+Processing!O19)</f>
        <v>0</v>
      </c>
      <c r="AJ18" s="93">
        <f>X18*(100%+Processing!O19)</f>
        <v>0</v>
      </c>
      <c r="AK18" s="93">
        <f>Y18*(100%+Processing!O19)</f>
        <v>0</v>
      </c>
      <c r="AL18" s="46"/>
      <c r="AM18" s="27">
        <f t="shared" si="12"/>
        <v>0</v>
      </c>
      <c r="AN18" s="53">
        <f t="shared" si="9"/>
        <v>0</v>
      </c>
      <c r="AO18" s="53">
        <f t="shared" si="10"/>
        <v>0</v>
      </c>
      <c r="AP18" s="53">
        <f t="shared" si="11"/>
        <v>0</v>
      </c>
    </row>
    <row r="19" spans="1:42" x14ac:dyDescent="0.35">
      <c r="A19" s="4">
        <f>Processing!T8</f>
        <v>0</v>
      </c>
      <c r="B19" s="93">
        <f>Processing!U24</f>
        <v>0</v>
      </c>
      <c r="C19" s="93">
        <f>Processing!U25</f>
        <v>0</v>
      </c>
      <c r="D19" s="93">
        <f>Processing!U26</f>
        <v>0</v>
      </c>
      <c r="E19" s="93">
        <f>Processing!U27</f>
        <v>0</v>
      </c>
      <c r="F19" s="93">
        <f>Processing!U28</f>
        <v>0</v>
      </c>
      <c r="G19" s="93">
        <f>Processing!U29</f>
        <v>0</v>
      </c>
      <c r="H19" s="93">
        <f>Processing!U30</f>
        <v>0</v>
      </c>
      <c r="I19" s="93">
        <f>Processing!U31</f>
        <v>0</v>
      </c>
      <c r="J19" s="93">
        <f>Processing!U32</f>
        <v>0</v>
      </c>
      <c r="K19" s="93">
        <f>Processing!U33</f>
        <v>0</v>
      </c>
      <c r="L19" s="93">
        <f>Processing!U34</f>
        <v>0</v>
      </c>
      <c r="M19" s="93">
        <f>Processing!U35</f>
        <v>0</v>
      </c>
      <c r="N19" s="93">
        <f>B19*(100%+Processing!O18)</f>
        <v>0</v>
      </c>
      <c r="O19" s="93">
        <f>C19*(100%+Processing!O18)</f>
        <v>0</v>
      </c>
      <c r="P19" s="93">
        <f>D19*(100%+Processing!O18)</f>
        <v>0</v>
      </c>
      <c r="Q19" s="93">
        <f>E19*(100%+Processing!O18)</f>
        <v>0</v>
      </c>
      <c r="R19" s="93">
        <f>F19*(100%+Processing!O18)</f>
        <v>0</v>
      </c>
      <c r="S19" s="93">
        <f>G19*(100%+Processing!O18)</f>
        <v>0</v>
      </c>
      <c r="T19" s="93">
        <f>H19*(100%+Processing!O18)</f>
        <v>0</v>
      </c>
      <c r="U19" s="93">
        <f>I19*(100%+Processing!O18)</f>
        <v>0</v>
      </c>
      <c r="V19" s="93">
        <f>J19*(100%+Processing!O18)</f>
        <v>0</v>
      </c>
      <c r="W19" s="93">
        <f>K19*(100%+Processing!O18)</f>
        <v>0</v>
      </c>
      <c r="X19" s="93">
        <f>L19*(100%+Processing!O18)</f>
        <v>0</v>
      </c>
      <c r="Y19" s="93">
        <f>M19*(100%+Processing!O18)</f>
        <v>0</v>
      </c>
      <c r="Z19" s="93">
        <f>N19*(100%+Processing!O19)</f>
        <v>0</v>
      </c>
      <c r="AA19" s="93">
        <f>O19*(100%+Processing!O19)</f>
        <v>0</v>
      </c>
      <c r="AB19" s="93">
        <f>P19*(100%+Processing!O19)</f>
        <v>0</v>
      </c>
      <c r="AC19" s="93">
        <f>Q19*(100%+Processing!O19)</f>
        <v>0</v>
      </c>
      <c r="AD19" s="93">
        <f>R19*(100%+Processing!O19)</f>
        <v>0</v>
      </c>
      <c r="AE19" s="93">
        <f>S19*(100%+Processing!O19)</f>
        <v>0</v>
      </c>
      <c r="AF19" s="93">
        <f>T19*(100%+Processing!O19)</f>
        <v>0</v>
      </c>
      <c r="AG19" s="93">
        <f>U19*(100%+Processing!O19)</f>
        <v>0</v>
      </c>
      <c r="AH19" s="93">
        <f>V19*(100%+Processing!O19)</f>
        <v>0</v>
      </c>
      <c r="AI19" s="93">
        <f>W19*(100%+Processing!O19)</f>
        <v>0</v>
      </c>
      <c r="AJ19" s="93">
        <f>X19*(100%+Processing!O19)</f>
        <v>0</v>
      </c>
      <c r="AK19" s="93">
        <f>Y19*(100%+Processing!O19)</f>
        <v>0</v>
      </c>
      <c r="AL19" s="46"/>
      <c r="AM19" s="27">
        <f t="shared" si="12"/>
        <v>0</v>
      </c>
      <c r="AN19" s="53">
        <f t="shared" si="9"/>
        <v>0</v>
      </c>
      <c r="AO19" s="53">
        <f t="shared" si="10"/>
        <v>0</v>
      </c>
      <c r="AP19" s="53">
        <f t="shared" si="11"/>
        <v>0</v>
      </c>
    </row>
    <row r="20" spans="1:42" x14ac:dyDescent="0.35">
      <c r="A20" s="4">
        <f>Processing!T9</f>
        <v>0</v>
      </c>
      <c r="B20" s="93">
        <f>Processing!V24</f>
        <v>0</v>
      </c>
      <c r="C20" s="93">
        <f>Processing!V25</f>
        <v>0</v>
      </c>
      <c r="D20" s="93">
        <f>Processing!V26</f>
        <v>0</v>
      </c>
      <c r="E20" s="93">
        <f>Processing!V27</f>
        <v>0</v>
      </c>
      <c r="F20" s="93">
        <f>Processing!V28</f>
        <v>0</v>
      </c>
      <c r="G20" s="93">
        <f>Processing!V29</f>
        <v>0</v>
      </c>
      <c r="H20" s="93">
        <f>Processing!V30</f>
        <v>0</v>
      </c>
      <c r="I20" s="93">
        <f>Processing!V31</f>
        <v>0</v>
      </c>
      <c r="J20" s="93">
        <f>Processing!V32</f>
        <v>0</v>
      </c>
      <c r="K20" s="93">
        <f>Processing!V33</f>
        <v>0</v>
      </c>
      <c r="L20" s="93">
        <f>Processing!V34</f>
        <v>0</v>
      </c>
      <c r="M20" s="93">
        <f>Processing!V35</f>
        <v>0</v>
      </c>
      <c r="N20" s="93">
        <f>B20*(100%+Processing!O18)</f>
        <v>0</v>
      </c>
      <c r="O20" s="93">
        <f>C20*(100%+Processing!O18)</f>
        <v>0</v>
      </c>
      <c r="P20" s="93">
        <f>D20*(100%+Processing!O18)</f>
        <v>0</v>
      </c>
      <c r="Q20" s="93">
        <f>E20*(100%+Processing!O18)</f>
        <v>0</v>
      </c>
      <c r="R20" s="93">
        <f>F20*(100%+Processing!O18)</f>
        <v>0</v>
      </c>
      <c r="S20" s="93">
        <f>G20*(100%+Processing!O18)</f>
        <v>0</v>
      </c>
      <c r="T20" s="93">
        <f>H20*(100%+Processing!O18)</f>
        <v>0</v>
      </c>
      <c r="U20" s="93">
        <f>I20*(100%+Processing!O18)</f>
        <v>0</v>
      </c>
      <c r="V20" s="93">
        <f>J20*(100%+Processing!O18)</f>
        <v>0</v>
      </c>
      <c r="W20" s="93">
        <f>K20*(100%+Processing!O18)</f>
        <v>0</v>
      </c>
      <c r="X20" s="93">
        <f>L20*(100%+Processing!O18)</f>
        <v>0</v>
      </c>
      <c r="Y20" s="93">
        <f>M20*(100%+Processing!O18)</f>
        <v>0</v>
      </c>
      <c r="Z20" s="93">
        <f>N20*(100%+Processing!O19)</f>
        <v>0</v>
      </c>
      <c r="AA20" s="93">
        <f>O20*(100%+Processing!O19)</f>
        <v>0</v>
      </c>
      <c r="AB20" s="93">
        <f>P20*(100%+Processing!O19)</f>
        <v>0</v>
      </c>
      <c r="AC20" s="93">
        <f>Q20*(100%+Processing!O19)</f>
        <v>0</v>
      </c>
      <c r="AD20" s="93">
        <f>R20*(100%+Processing!O19)</f>
        <v>0</v>
      </c>
      <c r="AE20" s="93">
        <f>S20*(100%+Processing!O19)</f>
        <v>0</v>
      </c>
      <c r="AF20" s="93">
        <f>T20*(100%+Processing!O19)</f>
        <v>0</v>
      </c>
      <c r="AG20" s="93">
        <f>U20*(100%+Processing!O19)</f>
        <v>0</v>
      </c>
      <c r="AH20" s="93">
        <f>V20*(100%+Processing!O19)</f>
        <v>0</v>
      </c>
      <c r="AI20" s="93">
        <f>W20*(100%+Processing!O19)</f>
        <v>0</v>
      </c>
      <c r="AJ20" s="93">
        <f>X20*(100%+Processing!O19)</f>
        <v>0</v>
      </c>
      <c r="AK20" s="93">
        <f>Y20*(100%+Processing!O19)</f>
        <v>0</v>
      </c>
      <c r="AL20" s="46"/>
      <c r="AM20" s="27">
        <f t="shared" si="12"/>
        <v>0</v>
      </c>
      <c r="AN20" s="53">
        <f t="shared" si="9"/>
        <v>0</v>
      </c>
      <c r="AO20" s="53">
        <f t="shared" si="10"/>
        <v>0</v>
      </c>
      <c r="AP20" s="53">
        <f t="shared" si="11"/>
        <v>0</v>
      </c>
    </row>
    <row r="21" spans="1:42" x14ac:dyDescent="0.35">
      <c r="A21" s="4">
        <f>Processing!T10</f>
        <v>0</v>
      </c>
      <c r="B21" s="93">
        <f>Processing!W24</f>
        <v>0</v>
      </c>
      <c r="C21" s="93">
        <f>Processing!W25</f>
        <v>0</v>
      </c>
      <c r="D21" s="93">
        <f>Processing!W26</f>
        <v>0</v>
      </c>
      <c r="E21" s="93">
        <f>Processing!W27</f>
        <v>0</v>
      </c>
      <c r="F21" s="93">
        <f>Processing!W28</f>
        <v>0</v>
      </c>
      <c r="G21" s="93">
        <f>Processing!W29</f>
        <v>0</v>
      </c>
      <c r="H21" s="93">
        <f>Processing!W30</f>
        <v>0</v>
      </c>
      <c r="I21" s="93">
        <f>Processing!W31</f>
        <v>0</v>
      </c>
      <c r="J21" s="93">
        <f>Processing!W32</f>
        <v>0</v>
      </c>
      <c r="K21" s="93">
        <f>Processing!W33</f>
        <v>0</v>
      </c>
      <c r="L21" s="93">
        <f>Processing!W34</f>
        <v>0</v>
      </c>
      <c r="M21" s="93">
        <f>Processing!W35</f>
        <v>0</v>
      </c>
      <c r="N21" s="93">
        <f>B21*(100%+Processing!O18)</f>
        <v>0</v>
      </c>
      <c r="O21" s="93">
        <f>C21*(100%+Processing!O18)</f>
        <v>0</v>
      </c>
      <c r="P21" s="93">
        <f>D21*(100%+Processing!O18)</f>
        <v>0</v>
      </c>
      <c r="Q21" s="93">
        <f>E21*(100%+Processing!O18)</f>
        <v>0</v>
      </c>
      <c r="R21" s="93">
        <f>F21*(100%+Processing!O18)</f>
        <v>0</v>
      </c>
      <c r="S21" s="93">
        <f>G21*(100%+Processing!O18)</f>
        <v>0</v>
      </c>
      <c r="T21" s="93">
        <f>H21*(100%+Processing!O18)</f>
        <v>0</v>
      </c>
      <c r="U21" s="93">
        <f>I21*(100%+Processing!O18)</f>
        <v>0</v>
      </c>
      <c r="V21" s="93">
        <f>J21*(100%+Processing!O18)</f>
        <v>0</v>
      </c>
      <c r="W21" s="93">
        <f>K21*(100%+Processing!O18)</f>
        <v>0</v>
      </c>
      <c r="X21" s="93">
        <f>L21*(100%+Processing!O18)</f>
        <v>0</v>
      </c>
      <c r="Y21" s="93">
        <f>M21*(100%+Processing!O18)</f>
        <v>0</v>
      </c>
      <c r="Z21" s="93">
        <f>N21*(100%+Processing!O19)</f>
        <v>0</v>
      </c>
      <c r="AA21" s="93">
        <f>O21*(100%+Processing!O19)</f>
        <v>0</v>
      </c>
      <c r="AB21" s="93">
        <f>P21*(100%+Processing!O19)</f>
        <v>0</v>
      </c>
      <c r="AC21" s="93">
        <f>Q21*(100%+Processing!O19)</f>
        <v>0</v>
      </c>
      <c r="AD21" s="93">
        <f>R21*(100%+Processing!O19)</f>
        <v>0</v>
      </c>
      <c r="AE21" s="93">
        <f>S21*(100%+Processing!O19)</f>
        <v>0</v>
      </c>
      <c r="AF21" s="93">
        <f>T21*(100%+Processing!O19)</f>
        <v>0</v>
      </c>
      <c r="AG21" s="93">
        <f>U21*(100%+Processing!O19)</f>
        <v>0</v>
      </c>
      <c r="AH21" s="93">
        <f>V21*(100%+Processing!O19)</f>
        <v>0</v>
      </c>
      <c r="AI21" s="93">
        <f>W21*(100%+Processing!O19)</f>
        <v>0</v>
      </c>
      <c r="AJ21" s="93">
        <f>X21*(100%+Processing!O19)</f>
        <v>0</v>
      </c>
      <c r="AK21" s="93">
        <f>Y21*(100%+Processing!O19)</f>
        <v>0</v>
      </c>
      <c r="AL21" s="46"/>
      <c r="AM21" s="27">
        <f t="shared" si="12"/>
        <v>0</v>
      </c>
      <c r="AN21" s="53">
        <f t="shared" si="9"/>
        <v>0</v>
      </c>
      <c r="AO21" s="53">
        <f t="shared" si="10"/>
        <v>0</v>
      </c>
      <c r="AP21" s="53">
        <f t="shared" si="11"/>
        <v>0</v>
      </c>
    </row>
    <row r="22" spans="1:42" x14ac:dyDescent="0.35">
      <c r="A22" s="4">
        <f>Processing!T11</f>
        <v>0</v>
      </c>
      <c r="B22" s="93">
        <f>Processing!X24</f>
        <v>0</v>
      </c>
      <c r="C22" s="93">
        <f>Processing!X25</f>
        <v>0</v>
      </c>
      <c r="D22" s="93">
        <f>Processing!X26</f>
        <v>0</v>
      </c>
      <c r="E22" s="93">
        <f>Processing!X27</f>
        <v>0</v>
      </c>
      <c r="F22" s="93">
        <f>Processing!X28</f>
        <v>0</v>
      </c>
      <c r="G22" s="93">
        <f>Processing!X29</f>
        <v>0</v>
      </c>
      <c r="H22" s="93">
        <f>Processing!X30</f>
        <v>0</v>
      </c>
      <c r="I22" s="93">
        <f>Processing!X31</f>
        <v>0</v>
      </c>
      <c r="J22" s="93">
        <f>Processing!X32</f>
        <v>0</v>
      </c>
      <c r="K22" s="93">
        <f>Processing!X33</f>
        <v>0</v>
      </c>
      <c r="L22" s="93">
        <f>Processing!X34</f>
        <v>0</v>
      </c>
      <c r="M22" s="93">
        <f>Processing!X35</f>
        <v>0</v>
      </c>
      <c r="N22" s="93">
        <f>B22*(100%+Processing!O18)</f>
        <v>0</v>
      </c>
      <c r="O22" s="93">
        <f>C22*(100%+Processing!O18)</f>
        <v>0</v>
      </c>
      <c r="P22" s="93">
        <f>D22*(100%+Processing!O18)</f>
        <v>0</v>
      </c>
      <c r="Q22" s="93">
        <f>E22*(100%+Processing!O18)</f>
        <v>0</v>
      </c>
      <c r="R22" s="93">
        <f>F22*(100%+Processing!O18)</f>
        <v>0</v>
      </c>
      <c r="S22" s="93">
        <f>G22*(100%+Processing!O18)</f>
        <v>0</v>
      </c>
      <c r="T22" s="93">
        <f>H22*(100%+Processing!O18)</f>
        <v>0</v>
      </c>
      <c r="U22" s="93">
        <f>I22*(100%+Processing!O18)</f>
        <v>0</v>
      </c>
      <c r="V22" s="93">
        <f>J22*(100%+Processing!O18)</f>
        <v>0</v>
      </c>
      <c r="W22" s="93">
        <f>K22*(100%+Processing!O18)</f>
        <v>0</v>
      </c>
      <c r="X22" s="93">
        <f>L22*(100%+Processing!O18)</f>
        <v>0</v>
      </c>
      <c r="Y22" s="93">
        <f>M22*(100%+Processing!O18)</f>
        <v>0</v>
      </c>
      <c r="Z22" s="93">
        <f>N22*(100%+Processing!O19)</f>
        <v>0</v>
      </c>
      <c r="AA22" s="93">
        <f>O22*(100%+Processing!O19)</f>
        <v>0</v>
      </c>
      <c r="AB22" s="93">
        <f>P22*(100%+Processing!O19)</f>
        <v>0</v>
      </c>
      <c r="AC22" s="93">
        <f>Q22*(100%+Processing!O19)</f>
        <v>0</v>
      </c>
      <c r="AD22" s="93">
        <f>R22*(100%+Processing!O19)</f>
        <v>0</v>
      </c>
      <c r="AE22" s="93">
        <f>S22*(100%+Processing!O19)</f>
        <v>0</v>
      </c>
      <c r="AF22" s="93">
        <f>T22*(100%+Processing!O19)</f>
        <v>0</v>
      </c>
      <c r="AG22" s="93">
        <f>U22*(100%+Processing!O19)</f>
        <v>0</v>
      </c>
      <c r="AH22" s="93">
        <f>V22*(100%+Processing!O19)</f>
        <v>0</v>
      </c>
      <c r="AI22" s="93">
        <f>W22*(100%+Processing!O19)</f>
        <v>0</v>
      </c>
      <c r="AJ22" s="93">
        <f>X22*(100%+Processing!O19)</f>
        <v>0</v>
      </c>
      <c r="AK22" s="93">
        <f>Y22*(100%+Processing!O19)</f>
        <v>0</v>
      </c>
      <c r="AL22" s="46"/>
      <c r="AM22" s="27">
        <f t="shared" si="12"/>
        <v>0</v>
      </c>
      <c r="AN22" s="53">
        <f t="shared" si="9"/>
        <v>0</v>
      </c>
      <c r="AO22" s="53">
        <f t="shared" si="10"/>
        <v>0</v>
      </c>
      <c r="AP22" s="53">
        <f t="shared" si="11"/>
        <v>0</v>
      </c>
    </row>
    <row r="23" spans="1:42" x14ac:dyDescent="0.35">
      <c r="A23" s="4">
        <f>Processing!T12</f>
        <v>0</v>
      </c>
      <c r="B23" s="93">
        <f>Processing!Y24</f>
        <v>0</v>
      </c>
      <c r="C23" s="93">
        <f>Processing!Y25</f>
        <v>0</v>
      </c>
      <c r="D23" s="93">
        <f>Processing!Y26</f>
        <v>0</v>
      </c>
      <c r="E23" s="93">
        <f>Processing!Y27</f>
        <v>0</v>
      </c>
      <c r="F23" s="93">
        <f>Processing!Y28</f>
        <v>0</v>
      </c>
      <c r="G23" s="93">
        <f>Processing!Y29</f>
        <v>0</v>
      </c>
      <c r="H23" s="93">
        <f>Processing!Y30</f>
        <v>0</v>
      </c>
      <c r="I23" s="93">
        <f>Processing!Y31</f>
        <v>0</v>
      </c>
      <c r="J23" s="93">
        <f>Processing!Y32</f>
        <v>0</v>
      </c>
      <c r="K23" s="93">
        <f>Processing!Y33</f>
        <v>0</v>
      </c>
      <c r="L23" s="93">
        <f>Processing!Y34</f>
        <v>0</v>
      </c>
      <c r="M23" s="93">
        <f>Processing!Y35</f>
        <v>0</v>
      </c>
      <c r="N23" s="93">
        <f>B23*(100%+Processing!O18)</f>
        <v>0</v>
      </c>
      <c r="O23" s="93">
        <f>C23*(100%+Processing!O18)</f>
        <v>0</v>
      </c>
      <c r="P23" s="93">
        <f>D23*(100%+Processing!O18)</f>
        <v>0</v>
      </c>
      <c r="Q23" s="93">
        <f>E23*(100%+Processing!O18)</f>
        <v>0</v>
      </c>
      <c r="R23" s="93">
        <f>F23*(100%+Processing!O18)</f>
        <v>0</v>
      </c>
      <c r="S23" s="93">
        <f>G23*(100%+Processing!O18)</f>
        <v>0</v>
      </c>
      <c r="T23" s="93">
        <f>H23*(100%+Processing!O18)</f>
        <v>0</v>
      </c>
      <c r="U23" s="93">
        <f>I23*(100%+Processing!O18)</f>
        <v>0</v>
      </c>
      <c r="V23" s="93">
        <f>J23*(100%+Processing!O18)</f>
        <v>0</v>
      </c>
      <c r="W23" s="93">
        <f>K23*(100%+Processing!O18)</f>
        <v>0</v>
      </c>
      <c r="X23" s="93">
        <f>L23*(100%+Processing!O18)</f>
        <v>0</v>
      </c>
      <c r="Y23" s="93">
        <f>M23*(100%+Processing!O18)</f>
        <v>0</v>
      </c>
      <c r="Z23" s="93">
        <f>N23*(100%+Processing!O19)</f>
        <v>0</v>
      </c>
      <c r="AA23" s="93">
        <f>O23*(100%+Processing!O19)</f>
        <v>0</v>
      </c>
      <c r="AB23" s="93">
        <f>P23*(100%+Processing!O19)</f>
        <v>0</v>
      </c>
      <c r="AC23" s="93">
        <f>Q23*(100%+Processing!O19)</f>
        <v>0</v>
      </c>
      <c r="AD23" s="93">
        <f>R23*(100%+Processing!O19)</f>
        <v>0</v>
      </c>
      <c r="AE23" s="93">
        <f>S23*(100%+Processing!O19)</f>
        <v>0</v>
      </c>
      <c r="AF23" s="93">
        <f>T23*(100%+Processing!O19)</f>
        <v>0</v>
      </c>
      <c r="AG23" s="93">
        <f>U23*(100%+Processing!O19)</f>
        <v>0</v>
      </c>
      <c r="AH23" s="93">
        <f>V23*(100%+Processing!O19)</f>
        <v>0</v>
      </c>
      <c r="AI23" s="93">
        <f>W23*(100%+Processing!O19)</f>
        <v>0</v>
      </c>
      <c r="AJ23" s="93">
        <f>X23*(100%+Processing!O19)</f>
        <v>0</v>
      </c>
      <c r="AK23" s="93">
        <f>Y23*(100%+Processing!O19)</f>
        <v>0</v>
      </c>
      <c r="AL23" s="46"/>
      <c r="AM23" s="27">
        <f t="shared" si="12"/>
        <v>0</v>
      </c>
      <c r="AN23" s="53">
        <f t="shared" si="9"/>
        <v>0</v>
      </c>
      <c r="AO23" s="53">
        <f t="shared" si="10"/>
        <v>0</v>
      </c>
      <c r="AP23" s="53">
        <f t="shared" si="11"/>
        <v>0</v>
      </c>
    </row>
    <row r="24" spans="1:42" x14ac:dyDescent="0.35">
      <c r="A24" s="98" t="s">
        <v>35</v>
      </c>
      <c r="B24" s="93">
        <f>SUM(B15:B23)</f>
        <v>0</v>
      </c>
      <c r="C24" s="93">
        <f>SUM(C15:C23)</f>
        <v>0</v>
      </c>
      <c r="D24" s="93">
        <f t="shared" ref="D24:AK24" si="13">SUM(D15:D23)</f>
        <v>0</v>
      </c>
      <c r="E24" s="93">
        <f t="shared" si="13"/>
        <v>0</v>
      </c>
      <c r="F24" s="93">
        <f t="shared" si="13"/>
        <v>0</v>
      </c>
      <c r="G24" s="93">
        <f t="shared" si="13"/>
        <v>0</v>
      </c>
      <c r="H24" s="93">
        <f t="shared" si="13"/>
        <v>0</v>
      </c>
      <c r="I24" s="93">
        <f t="shared" si="13"/>
        <v>0</v>
      </c>
      <c r="J24" s="93">
        <f t="shared" si="13"/>
        <v>0</v>
      </c>
      <c r="K24" s="93">
        <f t="shared" si="13"/>
        <v>0</v>
      </c>
      <c r="L24" s="93">
        <f t="shared" si="13"/>
        <v>0</v>
      </c>
      <c r="M24" s="93">
        <f t="shared" si="13"/>
        <v>0</v>
      </c>
      <c r="N24" s="93">
        <f t="shared" si="13"/>
        <v>0</v>
      </c>
      <c r="O24" s="93">
        <f t="shared" si="13"/>
        <v>0</v>
      </c>
      <c r="P24" s="93">
        <f t="shared" si="13"/>
        <v>0</v>
      </c>
      <c r="Q24" s="93">
        <f t="shared" si="13"/>
        <v>0</v>
      </c>
      <c r="R24" s="93">
        <f t="shared" si="13"/>
        <v>0</v>
      </c>
      <c r="S24" s="93">
        <f t="shared" si="13"/>
        <v>0</v>
      </c>
      <c r="T24" s="93">
        <f t="shared" si="13"/>
        <v>0</v>
      </c>
      <c r="U24" s="93">
        <f t="shared" si="13"/>
        <v>0</v>
      </c>
      <c r="V24" s="93">
        <f t="shared" si="13"/>
        <v>0</v>
      </c>
      <c r="W24" s="93">
        <f t="shared" si="13"/>
        <v>0</v>
      </c>
      <c r="X24" s="93">
        <f t="shared" si="13"/>
        <v>0</v>
      </c>
      <c r="Y24" s="93">
        <f t="shared" si="13"/>
        <v>0</v>
      </c>
      <c r="Z24" s="93">
        <f t="shared" si="13"/>
        <v>0</v>
      </c>
      <c r="AA24" s="93">
        <f t="shared" si="13"/>
        <v>0</v>
      </c>
      <c r="AB24" s="93">
        <f t="shared" si="13"/>
        <v>0</v>
      </c>
      <c r="AC24" s="93">
        <f t="shared" si="13"/>
        <v>0</v>
      </c>
      <c r="AD24" s="93">
        <f t="shared" si="13"/>
        <v>0</v>
      </c>
      <c r="AE24" s="93">
        <f t="shared" si="13"/>
        <v>0</v>
      </c>
      <c r="AF24" s="93">
        <f t="shared" si="13"/>
        <v>0</v>
      </c>
      <c r="AG24" s="93">
        <f t="shared" si="13"/>
        <v>0</v>
      </c>
      <c r="AH24" s="93">
        <f t="shared" si="13"/>
        <v>0</v>
      </c>
      <c r="AI24" s="93">
        <f t="shared" si="13"/>
        <v>0</v>
      </c>
      <c r="AJ24" s="93">
        <f t="shared" si="13"/>
        <v>0</v>
      </c>
      <c r="AK24" s="93">
        <f t="shared" si="13"/>
        <v>0</v>
      </c>
      <c r="AL24" s="46"/>
      <c r="AM24" s="27">
        <f t="shared" si="12"/>
        <v>0</v>
      </c>
      <c r="AN24" s="53">
        <f t="shared" si="9"/>
        <v>0</v>
      </c>
      <c r="AO24" s="53">
        <f t="shared" si="10"/>
        <v>0</v>
      </c>
      <c r="AP24" s="53">
        <f t="shared" si="11"/>
        <v>0</v>
      </c>
    </row>
    <row r="25" spans="1:42" x14ac:dyDescent="0.35">
      <c r="A25" s="4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46"/>
      <c r="AM25" s="27"/>
      <c r="AN25" s="53"/>
      <c r="AO25" s="53"/>
      <c r="AP25" s="53"/>
    </row>
    <row r="26" spans="1:42" x14ac:dyDescent="0.35">
      <c r="A26" s="5" t="s">
        <v>173</v>
      </c>
      <c r="B26" s="44" t="e">
        <f t="shared" ref="B26:AK26" si="14">B11-(B13+B24)</f>
        <v>#DIV/0!</v>
      </c>
      <c r="C26" s="44" t="e">
        <f t="shared" si="14"/>
        <v>#DIV/0!</v>
      </c>
      <c r="D26" s="44" t="e">
        <f t="shared" si="14"/>
        <v>#DIV/0!</v>
      </c>
      <c r="E26" s="44" t="e">
        <f t="shared" si="14"/>
        <v>#DIV/0!</v>
      </c>
      <c r="F26" s="44" t="e">
        <f t="shared" si="14"/>
        <v>#DIV/0!</v>
      </c>
      <c r="G26" s="44" t="e">
        <f t="shared" si="14"/>
        <v>#DIV/0!</v>
      </c>
      <c r="H26" s="44" t="e">
        <f t="shared" si="14"/>
        <v>#DIV/0!</v>
      </c>
      <c r="I26" s="44" t="e">
        <f t="shared" si="14"/>
        <v>#DIV/0!</v>
      </c>
      <c r="J26" s="44" t="e">
        <f t="shared" si="14"/>
        <v>#DIV/0!</v>
      </c>
      <c r="K26" s="44" t="e">
        <f t="shared" si="14"/>
        <v>#DIV/0!</v>
      </c>
      <c r="L26" s="44" t="e">
        <f t="shared" si="14"/>
        <v>#DIV/0!</v>
      </c>
      <c r="M26" s="44" t="e">
        <f t="shared" si="14"/>
        <v>#DIV/0!</v>
      </c>
      <c r="N26" s="44" t="e">
        <f t="shared" si="14"/>
        <v>#DIV/0!</v>
      </c>
      <c r="O26" s="44" t="e">
        <f t="shared" si="14"/>
        <v>#DIV/0!</v>
      </c>
      <c r="P26" s="44" t="e">
        <f t="shared" si="14"/>
        <v>#DIV/0!</v>
      </c>
      <c r="Q26" s="44" t="e">
        <f t="shared" si="14"/>
        <v>#DIV/0!</v>
      </c>
      <c r="R26" s="44" t="e">
        <f t="shared" si="14"/>
        <v>#DIV/0!</v>
      </c>
      <c r="S26" s="44" t="e">
        <f t="shared" si="14"/>
        <v>#DIV/0!</v>
      </c>
      <c r="T26" s="44" t="e">
        <f t="shared" si="14"/>
        <v>#DIV/0!</v>
      </c>
      <c r="U26" s="44" t="e">
        <f t="shared" si="14"/>
        <v>#DIV/0!</v>
      </c>
      <c r="V26" s="44" t="e">
        <f t="shared" si="14"/>
        <v>#DIV/0!</v>
      </c>
      <c r="W26" s="44" t="e">
        <f t="shared" si="14"/>
        <v>#DIV/0!</v>
      </c>
      <c r="X26" s="44" t="e">
        <f t="shared" si="14"/>
        <v>#DIV/0!</v>
      </c>
      <c r="Y26" s="44" t="e">
        <f t="shared" si="14"/>
        <v>#DIV/0!</v>
      </c>
      <c r="Z26" s="44" t="e">
        <f t="shared" si="14"/>
        <v>#DIV/0!</v>
      </c>
      <c r="AA26" s="44" t="e">
        <f t="shared" si="14"/>
        <v>#DIV/0!</v>
      </c>
      <c r="AB26" s="44" t="e">
        <f t="shared" si="14"/>
        <v>#DIV/0!</v>
      </c>
      <c r="AC26" s="44" t="e">
        <f t="shared" si="14"/>
        <v>#DIV/0!</v>
      </c>
      <c r="AD26" s="44" t="e">
        <f t="shared" si="14"/>
        <v>#DIV/0!</v>
      </c>
      <c r="AE26" s="44" t="e">
        <f t="shared" si="14"/>
        <v>#DIV/0!</v>
      </c>
      <c r="AF26" s="44" t="e">
        <f t="shared" si="14"/>
        <v>#DIV/0!</v>
      </c>
      <c r="AG26" s="44" t="e">
        <f t="shared" si="14"/>
        <v>#DIV/0!</v>
      </c>
      <c r="AH26" s="44" t="e">
        <f t="shared" si="14"/>
        <v>#DIV/0!</v>
      </c>
      <c r="AI26" s="44" t="e">
        <f t="shared" si="14"/>
        <v>#DIV/0!</v>
      </c>
      <c r="AJ26" s="44" t="e">
        <f t="shared" si="14"/>
        <v>#DIV/0!</v>
      </c>
      <c r="AK26" s="44" t="e">
        <f t="shared" si="14"/>
        <v>#DIV/0!</v>
      </c>
      <c r="AL26" s="46"/>
      <c r="AM26" s="130" t="e">
        <f t="shared" si="12"/>
        <v>#DIV/0!</v>
      </c>
      <c r="AN26" s="131" t="e">
        <f t="shared" si="9"/>
        <v>#DIV/0!</v>
      </c>
      <c r="AO26" s="131" t="e">
        <f t="shared" si="10"/>
        <v>#DIV/0!</v>
      </c>
      <c r="AP26" s="131" t="e">
        <f t="shared" si="11"/>
        <v>#DIV/0!</v>
      </c>
    </row>
    <row r="27" spans="1:42" x14ac:dyDescent="0.35">
      <c r="A27" s="4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46"/>
      <c r="AM27" s="27"/>
      <c r="AN27" s="53"/>
      <c r="AO27" s="53"/>
      <c r="AP27" s="53"/>
    </row>
    <row r="28" spans="1:42" x14ac:dyDescent="0.35">
      <c r="A28" s="4" t="s">
        <v>2</v>
      </c>
      <c r="B28" s="93" t="e">
        <f>Processing!J13*'Proyeksi Arus Kas'!B26</f>
        <v>#DIV/0!</v>
      </c>
      <c r="C28" s="93" t="e">
        <f>C26*Processing!J13</f>
        <v>#DIV/0!</v>
      </c>
      <c r="D28" s="93" t="e">
        <f>D26*Processing!J13</f>
        <v>#DIV/0!</v>
      </c>
      <c r="E28" s="93" t="e">
        <f>E26*Processing!J13</f>
        <v>#DIV/0!</v>
      </c>
      <c r="F28" s="93" t="e">
        <f>F26*Processing!J13</f>
        <v>#DIV/0!</v>
      </c>
      <c r="G28" s="93" t="e">
        <f>G26*Processing!J13</f>
        <v>#DIV/0!</v>
      </c>
      <c r="H28" s="93" t="e">
        <f>H26*Processing!J13</f>
        <v>#DIV/0!</v>
      </c>
      <c r="I28" s="93" t="e">
        <f>I26*Processing!J13</f>
        <v>#DIV/0!</v>
      </c>
      <c r="J28" s="93" t="e">
        <f>J26*Processing!J13</f>
        <v>#DIV/0!</v>
      </c>
      <c r="K28" s="93" t="e">
        <f>K26*Processing!J13</f>
        <v>#DIV/0!</v>
      </c>
      <c r="L28" s="93" t="e">
        <f>L26*Processing!J13</f>
        <v>#DIV/0!</v>
      </c>
      <c r="M28" s="93" t="e">
        <f>M26*Processing!J13</f>
        <v>#DIV/0!</v>
      </c>
      <c r="N28" s="93" t="e">
        <f>N26*Processing!J13</f>
        <v>#DIV/0!</v>
      </c>
      <c r="O28" s="93" t="e">
        <f>O26*Processing!J13</f>
        <v>#DIV/0!</v>
      </c>
      <c r="P28" s="93" t="e">
        <f>P26*Processing!J13</f>
        <v>#DIV/0!</v>
      </c>
      <c r="Q28" s="93" t="e">
        <f>Q26*Processing!J13</f>
        <v>#DIV/0!</v>
      </c>
      <c r="R28" s="93" t="e">
        <f>R26*Processing!J13</f>
        <v>#DIV/0!</v>
      </c>
      <c r="S28" s="93" t="e">
        <f>S26*Processing!J13</f>
        <v>#DIV/0!</v>
      </c>
      <c r="T28" s="93" t="e">
        <f>T26*Processing!J13</f>
        <v>#DIV/0!</v>
      </c>
      <c r="U28" s="93" t="e">
        <f>U26*Processing!J13</f>
        <v>#DIV/0!</v>
      </c>
      <c r="V28" s="93" t="e">
        <f>V26*Processing!J13</f>
        <v>#DIV/0!</v>
      </c>
      <c r="W28" s="93" t="e">
        <f>W26*Processing!J13</f>
        <v>#DIV/0!</v>
      </c>
      <c r="X28" s="93" t="e">
        <f>X26*Processing!J13</f>
        <v>#DIV/0!</v>
      </c>
      <c r="Y28" s="93" t="e">
        <f>Y26*Processing!J13</f>
        <v>#DIV/0!</v>
      </c>
      <c r="Z28" s="93" t="e">
        <f>Z26*Processing!J13</f>
        <v>#DIV/0!</v>
      </c>
      <c r="AA28" s="93" t="e">
        <f>AA26*Processing!J13</f>
        <v>#DIV/0!</v>
      </c>
      <c r="AB28" s="93" t="e">
        <f>AB26*Processing!J13</f>
        <v>#DIV/0!</v>
      </c>
      <c r="AC28" s="93" t="e">
        <f>AC26*Processing!J13</f>
        <v>#DIV/0!</v>
      </c>
      <c r="AD28" s="93" t="e">
        <f>AD26*Processing!J13</f>
        <v>#DIV/0!</v>
      </c>
      <c r="AE28" s="93" t="e">
        <f>AE26*Processing!J13</f>
        <v>#DIV/0!</v>
      </c>
      <c r="AF28" s="93" t="e">
        <f>AF26*Processing!J13</f>
        <v>#DIV/0!</v>
      </c>
      <c r="AG28" s="93" t="e">
        <f>AG26*Processing!J13</f>
        <v>#DIV/0!</v>
      </c>
      <c r="AH28" s="93" t="e">
        <f>AH26*Processing!J13</f>
        <v>#DIV/0!</v>
      </c>
      <c r="AI28" s="93" t="e">
        <f>AI26*Processing!J13</f>
        <v>#DIV/0!</v>
      </c>
      <c r="AJ28" s="93" t="e">
        <f>AJ26*Processing!J13</f>
        <v>#DIV/0!</v>
      </c>
      <c r="AK28" s="93" t="e">
        <f>AK26*Processing!J13</f>
        <v>#DIV/0!</v>
      </c>
      <c r="AL28" s="46"/>
      <c r="AM28" s="27" t="e">
        <f t="shared" si="12"/>
        <v>#DIV/0!</v>
      </c>
      <c r="AN28" s="53" t="e">
        <f t="shared" si="9"/>
        <v>#DIV/0!</v>
      </c>
      <c r="AO28" s="53" t="e">
        <f t="shared" si="10"/>
        <v>#DIV/0!</v>
      </c>
      <c r="AP28" s="53" t="e">
        <f t="shared" si="11"/>
        <v>#DIV/0!</v>
      </c>
    </row>
    <row r="29" spans="1:42" x14ac:dyDescent="0.35">
      <c r="A29" s="113" t="s">
        <v>124</v>
      </c>
      <c r="B29" s="93">
        <f>(Navigasi!D12*Navigasi!C8)/36</f>
        <v>0</v>
      </c>
      <c r="C29" s="93">
        <f>B29</f>
        <v>0</v>
      </c>
      <c r="D29" s="93">
        <f t="shared" ref="D29:AK29" si="15">C29</f>
        <v>0</v>
      </c>
      <c r="E29" s="93">
        <f t="shared" si="15"/>
        <v>0</v>
      </c>
      <c r="F29" s="93">
        <f t="shared" si="15"/>
        <v>0</v>
      </c>
      <c r="G29" s="93">
        <f t="shared" si="15"/>
        <v>0</v>
      </c>
      <c r="H29" s="93">
        <f t="shared" si="15"/>
        <v>0</v>
      </c>
      <c r="I29" s="93">
        <f t="shared" si="15"/>
        <v>0</v>
      </c>
      <c r="J29" s="93">
        <f t="shared" si="15"/>
        <v>0</v>
      </c>
      <c r="K29" s="93">
        <f t="shared" si="15"/>
        <v>0</v>
      </c>
      <c r="L29" s="93">
        <f t="shared" si="15"/>
        <v>0</v>
      </c>
      <c r="M29" s="93">
        <f t="shared" si="15"/>
        <v>0</v>
      </c>
      <c r="N29" s="93">
        <f t="shared" si="15"/>
        <v>0</v>
      </c>
      <c r="O29" s="93">
        <f t="shared" si="15"/>
        <v>0</v>
      </c>
      <c r="P29" s="93">
        <f t="shared" si="15"/>
        <v>0</v>
      </c>
      <c r="Q29" s="93">
        <f t="shared" si="15"/>
        <v>0</v>
      </c>
      <c r="R29" s="93">
        <f t="shared" si="15"/>
        <v>0</v>
      </c>
      <c r="S29" s="93">
        <f t="shared" si="15"/>
        <v>0</v>
      </c>
      <c r="T29" s="93">
        <f t="shared" si="15"/>
        <v>0</v>
      </c>
      <c r="U29" s="93">
        <f t="shared" si="15"/>
        <v>0</v>
      </c>
      <c r="V29" s="93">
        <f t="shared" si="15"/>
        <v>0</v>
      </c>
      <c r="W29" s="93">
        <f t="shared" si="15"/>
        <v>0</v>
      </c>
      <c r="X29" s="93">
        <f t="shared" si="15"/>
        <v>0</v>
      </c>
      <c r="Y29" s="93">
        <f t="shared" si="15"/>
        <v>0</v>
      </c>
      <c r="Z29" s="93">
        <f t="shared" si="15"/>
        <v>0</v>
      </c>
      <c r="AA29" s="93">
        <f t="shared" si="15"/>
        <v>0</v>
      </c>
      <c r="AB29" s="93">
        <f t="shared" si="15"/>
        <v>0</v>
      </c>
      <c r="AC29" s="93">
        <f t="shared" si="15"/>
        <v>0</v>
      </c>
      <c r="AD29" s="93">
        <f t="shared" si="15"/>
        <v>0</v>
      </c>
      <c r="AE29" s="93">
        <f t="shared" si="15"/>
        <v>0</v>
      </c>
      <c r="AF29" s="93">
        <f t="shared" si="15"/>
        <v>0</v>
      </c>
      <c r="AG29" s="93">
        <f t="shared" si="15"/>
        <v>0</v>
      </c>
      <c r="AH29" s="93">
        <f t="shared" si="15"/>
        <v>0</v>
      </c>
      <c r="AI29" s="93">
        <f t="shared" si="15"/>
        <v>0</v>
      </c>
      <c r="AJ29" s="93">
        <f t="shared" si="15"/>
        <v>0</v>
      </c>
      <c r="AK29" s="93">
        <f t="shared" si="15"/>
        <v>0</v>
      </c>
      <c r="AL29" s="46"/>
      <c r="AM29" s="27">
        <f t="shared" si="12"/>
        <v>0</v>
      </c>
      <c r="AN29" s="53">
        <f t="shared" si="9"/>
        <v>0</v>
      </c>
      <c r="AO29" s="53">
        <f>SUM(N29:Y29)</f>
        <v>0</v>
      </c>
      <c r="AP29" s="53">
        <f t="shared" si="11"/>
        <v>0</v>
      </c>
    </row>
    <row r="30" spans="1:42" x14ac:dyDescent="0.35">
      <c r="A30" s="113" t="s">
        <v>49</v>
      </c>
      <c r="B30" s="93">
        <f>(Navigasi!D16*Navigasi!C16)/36</f>
        <v>0</v>
      </c>
      <c r="C30" s="93">
        <f>B30</f>
        <v>0</v>
      </c>
      <c r="D30" s="93">
        <f t="shared" ref="D30:AK30" si="16">C30</f>
        <v>0</v>
      </c>
      <c r="E30" s="93">
        <f t="shared" si="16"/>
        <v>0</v>
      </c>
      <c r="F30" s="93">
        <f t="shared" si="16"/>
        <v>0</v>
      </c>
      <c r="G30" s="93">
        <f t="shared" si="16"/>
        <v>0</v>
      </c>
      <c r="H30" s="93">
        <f t="shared" si="16"/>
        <v>0</v>
      </c>
      <c r="I30" s="93">
        <f t="shared" si="16"/>
        <v>0</v>
      </c>
      <c r="J30" s="93">
        <f t="shared" si="16"/>
        <v>0</v>
      </c>
      <c r="K30" s="93">
        <f t="shared" si="16"/>
        <v>0</v>
      </c>
      <c r="L30" s="93">
        <f t="shared" si="16"/>
        <v>0</v>
      </c>
      <c r="M30" s="93">
        <f t="shared" si="16"/>
        <v>0</v>
      </c>
      <c r="N30" s="93">
        <f t="shared" si="16"/>
        <v>0</v>
      </c>
      <c r="O30" s="93">
        <f t="shared" si="16"/>
        <v>0</v>
      </c>
      <c r="P30" s="93">
        <f t="shared" si="16"/>
        <v>0</v>
      </c>
      <c r="Q30" s="93">
        <f t="shared" si="16"/>
        <v>0</v>
      </c>
      <c r="R30" s="93">
        <f t="shared" si="16"/>
        <v>0</v>
      </c>
      <c r="S30" s="93">
        <f t="shared" si="16"/>
        <v>0</v>
      </c>
      <c r="T30" s="93">
        <f t="shared" si="16"/>
        <v>0</v>
      </c>
      <c r="U30" s="93">
        <f t="shared" si="16"/>
        <v>0</v>
      </c>
      <c r="V30" s="93">
        <f t="shared" si="16"/>
        <v>0</v>
      </c>
      <c r="W30" s="93">
        <f t="shared" si="16"/>
        <v>0</v>
      </c>
      <c r="X30" s="93">
        <f t="shared" si="16"/>
        <v>0</v>
      </c>
      <c r="Y30" s="93">
        <f t="shared" si="16"/>
        <v>0</v>
      </c>
      <c r="Z30" s="93">
        <f t="shared" si="16"/>
        <v>0</v>
      </c>
      <c r="AA30" s="93">
        <f t="shared" si="16"/>
        <v>0</v>
      </c>
      <c r="AB30" s="93">
        <f t="shared" si="16"/>
        <v>0</v>
      </c>
      <c r="AC30" s="93">
        <f t="shared" si="16"/>
        <v>0</v>
      </c>
      <c r="AD30" s="93">
        <f t="shared" si="16"/>
        <v>0</v>
      </c>
      <c r="AE30" s="93">
        <f t="shared" si="16"/>
        <v>0</v>
      </c>
      <c r="AF30" s="93">
        <f t="shared" si="16"/>
        <v>0</v>
      </c>
      <c r="AG30" s="93">
        <f t="shared" si="16"/>
        <v>0</v>
      </c>
      <c r="AH30" s="93">
        <f t="shared" si="16"/>
        <v>0</v>
      </c>
      <c r="AI30" s="93">
        <f t="shared" si="16"/>
        <v>0</v>
      </c>
      <c r="AJ30" s="93">
        <f t="shared" si="16"/>
        <v>0</v>
      </c>
      <c r="AK30" s="93">
        <f t="shared" si="16"/>
        <v>0</v>
      </c>
      <c r="AL30" s="46"/>
      <c r="AM30" s="27">
        <f t="shared" si="12"/>
        <v>0</v>
      </c>
      <c r="AN30" s="53">
        <f t="shared" si="9"/>
        <v>0</v>
      </c>
      <c r="AO30" s="53">
        <f t="shared" ref="AO30:AO32" si="17">SUM(N30:Y30)</f>
        <v>0</v>
      </c>
      <c r="AP30" s="53">
        <f t="shared" si="11"/>
        <v>0</v>
      </c>
    </row>
    <row r="31" spans="1:42" x14ac:dyDescent="0.35">
      <c r="A31" s="113" t="s">
        <v>172</v>
      </c>
      <c r="B31" s="93">
        <f>(Navigasi!D14*Navigasi!C15)/36</f>
        <v>0</v>
      </c>
      <c r="C31" s="93">
        <f>B31</f>
        <v>0</v>
      </c>
      <c r="D31" s="93">
        <f t="shared" ref="D31:AK31" si="18">C31</f>
        <v>0</v>
      </c>
      <c r="E31" s="93">
        <f t="shared" si="18"/>
        <v>0</v>
      </c>
      <c r="F31" s="93">
        <f t="shared" si="18"/>
        <v>0</v>
      </c>
      <c r="G31" s="93">
        <f t="shared" si="18"/>
        <v>0</v>
      </c>
      <c r="H31" s="93">
        <f t="shared" si="18"/>
        <v>0</v>
      </c>
      <c r="I31" s="93">
        <f t="shared" si="18"/>
        <v>0</v>
      </c>
      <c r="J31" s="93">
        <f t="shared" si="18"/>
        <v>0</v>
      </c>
      <c r="K31" s="93">
        <f t="shared" si="18"/>
        <v>0</v>
      </c>
      <c r="L31" s="93">
        <f t="shared" si="18"/>
        <v>0</v>
      </c>
      <c r="M31" s="93">
        <f t="shared" si="18"/>
        <v>0</v>
      </c>
      <c r="N31" s="93">
        <f t="shared" si="18"/>
        <v>0</v>
      </c>
      <c r="O31" s="93">
        <f t="shared" si="18"/>
        <v>0</v>
      </c>
      <c r="P31" s="93">
        <f t="shared" si="18"/>
        <v>0</v>
      </c>
      <c r="Q31" s="93">
        <f t="shared" si="18"/>
        <v>0</v>
      </c>
      <c r="R31" s="93">
        <f t="shared" si="18"/>
        <v>0</v>
      </c>
      <c r="S31" s="93">
        <f t="shared" si="18"/>
        <v>0</v>
      </c>
      <c r="T31" s="93">
        <f t="shared" si="18"/>
        <v>0</v>
      </c>
      <c r="U31" s="93">
        <f t="shared" si="18"/>
        <v>0</v>
      </c>
      <c r="V31" s="93">
        <f t="shared" si="18"/>
        <v>0</v>
      </c>
      <c r="W31" s="93">
        <f t="shared" si="18"/>
        <v>0</v>
      </c>
      <c r="X31" s="93">
        <f t="shared" si="18"/>
        <v>0</v>
      </c>
      <c r="Y31" s="93">
        <f t="shared" si="18"/>
        <v>0</v>
      </c>
      <c r="Z31" s="93">
        <f t="shared" si="18"/>
        <v>0</v>
      </c>
      <c r="AA31" s="93">
        <f t="shared" si="18"/>
        <v>0</v>
      </c>
      <c r="AB31" s="93">
        <f t="shared" si="18"/>
        <v>0</v>
      </c>
      <c r="AC31" s="93">
        <f t="shared" si="18"/>
        <v>0</v>
      </c>
      <c r="AD31" s="93">
        <f t="shared" si="18"/>
        <v>0</v>
      </c>
      <c r="AE31" s="93">
        <f t="shared" si="18"/>
        <v>0</v>
      </c>
      <c r="AF31" s="93">
        <f t="shared" si="18"/>
        <v>0</v>
      </c>
      <c r="AG31" s="93">
        <f t="shared" si="18"/>
        <v>0</v>
      </c>
      <c r="AH31" s="93">
        <f t="shared" si="18"/>
        <v>0</v>
      </c>
      <c r="AI31" s="93">
        <f t="shared" si="18"/>
        <v>0</v>
      </c>
      <c r="AJ31" s="93">
        <f t="shared" si="18"/>
        <v>0</v>
      </c>
      <c r="AK31" s="93">
        <f t="shared" si="18"/>
        <v>0</v>
      </c>
      <c r="AL31" s="46"/>
      <c r="AM31" s="27">
        <f t="shared" si="12"/>
        <v>0</v>
      </c>
      <c r="AN31" s="53">
        <f t="shared" si="9"/>
        <v>0</v>
      </c>
      <c r="AO31" s="53">
        <f t="shared" si="17"/>
        <v>0</v>
      </c>
      <c r="AP31" s="53">
        <f t="shared" si="11"/>
        <v>0</v>
      </c>
    </row>
    <row r="32" spans="1:42" x14ac:dyDescent="0.35">
      <c r="A32" s="113"/>
      <c r="B32" s="93" t="e">
        <f>SUM(B28:B31)</f>
        <v>#DIV/0!</v>
      </c>
      <c r="C32" s="93" t="e">
        <f t="shared" ref="C32:AK32" si="19">SUM(C28:C31)</f>
        <v>#DIV/0!</v>
      </c>
      <c r="D32" s="93" t="e">
        <f t="shared" si="19"/>
        <v>#DIV/0!</v>
      </c>
      <c r="E32" s="93" t="e">
        <f t="shared" si="19"/>
        <v>#DIV/0!</v>
      </c>
      <c r="F32" s="93" t="e">
        <f t="shared" si="19"/>
        <v>#DIV/0!</v>
      </c>
      <c r="G32" s="93" t="e">
        <f t="shared" si="19"/>
        <v>#DIV/0!</v>
      </c>
      <c r="H32" s="93" t="e">
        <f t="shared" si="19"/>
        <v>#DIV/0!</v>
      </c>
      <c r="I32" s="93" t="e">
        <f t="shared" si="19"/>
        <v>#DIV/0!</v>
      </c>
      <c r="J32" s="93" t="e">
        <f t="shared" si="19"/>
        <v>#DIV/0!</v>
      </c>
      <c r="K32" s="93" t="e">
        <f t="shared" si="19"/>
        <v>#DIV/0!</v>
      </c>
      <c r="L32" s="93" t="e">
        <f t="shared" si="19"/>
        <v>#DIV/0!</v>
      </c>
      <c r="M32" s="93" t="e">
        <f t="shared" si="19"/>
        <v>#DIV/0!</v>
      </c>
      <c r="N32" s="93" t="e">
        <f t="shared" si="19"/>
        <v>#DIV/0!</v>
      </c>
      <c r="O32" s="93" t="e">
        <f t="shared" si="19"/>
        <v>#DIV/0!</v>
      </c>
      <c r="P32" s="93" t="e">
        <f t="shared" si="19"/>
        <v>#DIV/0!</v>
      </c>
      <c r="Q32" s="93" t="e">
        <f t="shared" si="19"/>
        <v>#DIV/0!</v>
      </c>
      <c r="R32" s="93" t="e">
        <f t="shared" si="19"/>
        <v>#DIV/0!</v>
      </c>
      <c r="S32" s="93" t="e">
        <f t="shared" si="19"/>
        <v>#DIV/0!</v>
      </c>
      <c r="T32" s="93" t="e">
        <f t="shared" si="19"/>
        <v>#DIV/0!</v>
      </c>
      <c r="U32" s="93" t="e">
        <f t="shared" si="19"/>
        <v>#DIV/0!</v>
      </c>
      <c r="V32" s="93" t="e">
        <f t="shared" si="19"/>
        <v>#DIV/0!</v>
      </c>
      <c r="W32" s="93" t="e">
        <f t="shared" si="19"/>
        <v>#DIV/0!</v>
      </c>
      <c r="X32" s="93" t="e">
        <f t="shared" si="19"/>
        <v>#DIV/0!</v>
      </c>
      <c r="Y32" s="93" t="e">
        <f t="shared" si="19"/>
        <v>#DIV/0!</v>
      </c>
      <c r="Z32" s="93" t="e">
        <f t="shared" si="19"/>
        <v>#DIV/0!</v>
      </c>
      <c r="AA32" s="93" t="e">
        <f t="shared" si="19"/>
        <v>#DIV/0!</v>
      </c>
      <c r="AB32" s="93" t="e">
        <f t="shared" si="19"/>
        <v>#DIV/0!</v>
      </c>
      <c r="AC32" s="93" t="e">
        <f t="shared" si="19"/>
        <v>#DIV/0!</v>
      </c>
      <c r="AD32" s="93" t="e">
        <f t="shared" si="19"/>
        <v>#DIV/0!</v>
      </c>
      <c r="AE32" s="93" t="e">
        <f t="shared" si="19"/>
        <v>#DIV/0!</v>
      </c>
      <c r="AF32" s="93" t="e">
        <f t="shared" si="19"/>
        <v>#DIV/0!</v>
      </c>
      <c r="AG32" s="93" t="e">
        <f t="shared" si="19"/>
        <v>#DIV/0!</v>
      </c>
      <c r="AH32" s="93" t="e">
        <f t="shared" si="19"/>
        <v>#DIV/0!</v>
      </c>
      <c r="AI32" s="93" t="e">
        <f t="shared" si="19"/>
        <v>#DIV/0!</v>
      </c>
      <c r="AJ32" s="93" t="e">
        <f t="shared" si="19"/>
        <v>#DIV/0!</v>
      </c>
      <c r="AK32" s="93" t="e">
        <f t="shared" si="19"/>
        <v>#DIV/0!</v>
      </c>
      <c r="AL32" s="46"/>
      <c r="AM32" s="27" t="e">
        <f t="shared" si="12"/>
        <v>#DIV/0!</v>
      </c>
      <c r="AN32" s="53" t="e">
        <f t="shared" si="9"/>
        <v>#DIV/0!</v>
      </c>
      <c r="AO32" s="53" t="e">
        <f t="shared" si="17"/>
        <v>#DIV/0!</v>
      </c>
      <c r="AP32" s="53" t="e">
        <f t="shared" si="11"/>
        <v>#DIV/0!</v>
      </c>
    </row>
    <row r="33" spans="1:42" x14ac:dyDescent="0.35">
      <c r="A33" s="4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46"/>
      <c r="AM33" s="27"/>
      <c r="AN33" s="53"/>
      <c r="AO33" s="53"/>
      <c r="AP33" s="53"/>
    </row>
    <row r="34" spans="1:42" x14ac:dyDescent="0.35">
      <c r="A34" s="94" t="s">
        <v>53</v>
      </c>
      <c r="B34" s="44" t="e">
        <f>B26-B32</f>
        <v>#DIV/0!</v>
      </c>
      <c r="C34" s="44" t="e">
        <f t="shared" ref="C34:AK34" si="20">C26-C32</f>
        <v>#DIV/0!</v>
      </c>
      <c r="D34" s="44" t="e">
        <f t="shared" si="20"/>
        <v>#DIV/0!</v>
      </c>
      <c r="E34" s="44" t="e">
        <f t="shared" si="20"/>
        <v>#DIV/0!</v>
      </c>
      <c r="F34" s="44" t="e">
        <f t="shared" si="20"/>
        <v>#DIV/0!</v>
      </c>
      <c r="G34" s="44" t="e">
        <f t="shared" si="20"/>
        <v>#DIV/0!</v>
      </c>
      <c r="H34" s="44" t="e">
        <f t="shared" si="20"/>
        <v>#DIV/0!</v>
      </c>
      <c r="I34" s="44" t="e">
        <f t="shared" si="20"/>
        <v>#DIV/0!</v>
      </c>
      <c r="J34" s="44" t="e">
        <f t="shared" si="20"/>
        <v>#DIV/0!</v>
      </c>
      <c r="K34" s="44" t="e">
        <f t="shared" si="20"/>
        <v>#DIV/0!</v>
      </c>
      <c r="L34" s="44" t="e">
        <f t="shared" si="20"/>
        <v>#DIV/0!</v>
      </c>
      <c r="M34" s="44" t="e">
        <f t="shared" si="20"/>
        <v>#DIV/0!</v>
      </c>
      <c r="N34" s="44" t="e">
        <f t="shared" si="20"/>
        <v>#DIV/0!</v>
      </c>
      <c r="O34" s="44" t="e">
        <f t="shared" si="20"/>
        <v>#DIV/0!</v>
      </c>
      <c r="P34" s="44" t="e">
        <f t="shared" si="20"/>
        <v>#DIV/0!</v>
      </c>
      <c r="Q34" s="44" t="e">
        <f t="shared" si="20"/>
        <v>#DIV/0!</v>
      </c>
      <c r="R34" s="44" t="e">
        <f t="shared" si="20"/>
        <v>#DIV/0!</v>
      </c>
      <c r="S34" s="44" t="e">
        <f t="shared" si="20"/>
        <v>#DIV/0!</v>
      </c>
      <c r="T34" s="44" t="e">
        <f t="shared" si="20"/>
        <v>#DIV/0!</v>
      </c>
      <c r="U34" s="44" t="e">
        <f t="shared" si="20"/>
        <v>#DIV/0!</v>
      </c>
      <c r="V34" s="44" t="e">
        <f t="shared" si="20"/>
        <v>#DIV/0!</v>
      </c>
      <c r="W34" s="44" t="e">
        <f t="shared" si="20"/>
        <v>#DIV/0!</v>
      </c>
      <c r="X34" s="44" t="e">
        <f t="shared" si="20"/>
        <v>#DIV/0!</v>
      </c>
      <c r="Y34" s="44" t="e">
        <f t="shared" si="20"/>
        <v>#DIV/0!</v>
      </c>
      <c r="Z34" s="44" t="e">
        <f t="shared" si="20"/>
        <v>#DIV/0!</v>
      </c>
      <c r="AA34" s="44" t="e">
        <f t="shared" si="20"/>
        <v>#DIV/0!</v>
      </c>
      <c r="AB34" s="44" t="e">
        <f t="shared" si="20"/>
        <v>#DIV/0!</v>
      </c>
      <c r="AC34" s="44" t="e">
        <f t="shared" si="20"/>
        <v>#DIV/0!</v>
      </c>
      <c r="AD34" s="44" t="e">
        <f t="shared" si="20"/>
        <v>#DIV/0!</v>
      </c>
      <c r="AE34" s="44" t="e">
        <f t="shared" si="20"/>
        <v>#DIV/0!</v>
      </c>
      <c r="AF34" s="44" t="e">
        <f t="shared" si="20"/>
        <v>#DIV/0!</v>
      </c>
      <c r="AG34" s="44" t="e">
        <f t="shared" si="20"/>
        <v>#DIV/0!</v>
      </c>
      <c r="AH34" s="44" t="e">
        <f t="shared" si="20"/>
        <v>#DIV/0!</v>
      </c>
      <c r="AI34" s="44" t="e">
        <f t="shared" si="20"/>
        <v>#DIV/0!</v>
      </c>
      <c r="AJ34" s="44" t="e">
        <f t="shared" si="20"/>
        <v>#DIV/0!</v>
      </c>
      <c r="AK34" s="44" t="e">
        <f t="shared" si="20"/>
        <v>#DIV/0!</v>
      </c>
      <c r="AL34" s="46"/>
      <c r="AM34" s="130" t="e">
        <f>SUM(B34:AK34)</f>
        <v>#DIV/0!</v>
      </c>
      <c r="AN34" s="131" t="e">
        <f t="shared" si="9"/>
        <v>#DIV/0!</v>
      </c>
      <c r="AO34" s="131" t="e">
        <f t="shared" si="10"/>
        <v>#DIV/0!</v>
      </c>
      <c r="AP34" s="131" t="e">
        <f t="shared" si="11"/>
        <v>#DIV/0!</v>
      </c>
    </row>
    <row r="39" spans="1:42" x14ac:dyDescent="0.35">
      <c r="A39" s="29"/>
    </row>
    <row r="42" spans="1:42" x14ac:dyDescent="0.35">
      <c r="A42" s="29"/>
    </row>
  </sheetData>
  <sheetProtection algorithmName="SHA-512" hashValue="9InTjbXkUXeVQFHkzFMNMwsERrmMKJImeYvpL8IQowfaFavAhITiQM89LmVWeJoetPmxk/plOF9IJT7FFH/x/Q==" saltValue="WNZysSgx5ckF8NuO2VwXEQ==" spinCount="100000" sheet="1" formatCells="0" formatColumns="0" formatRows="0" insertColumns="0" insertRows="0" insertHyperlinks="0" deleteColumns="0" deleteRows="0" sort="0" autoFilter="0" pivotTables="0"/>
  <mergeCells count="15">
    <mergeCell ref="B1:K1"/>
    <mergeCell ref="L1:M1"/>
    <mergeCell ref="N1:W1"/>
    <mergeCell ref="X1:Y1"/>
    <mergeCell ref="A2:M2"/>
    <mergeCell ref="A3:M3"/>
    <mergeCell ref="N2:Y2"/>
    <mergeCell ref="N3:Y3"/>
    <mergeCell ref="Z2:AK2"/>
    <mergeCell ref="Z3:AK3"/>
    <mergeCell ref="Z1:AI1"/>
    <mergeCell ref="AJ1:AK1"/>
    <mergeCell ref="AM1:AP1"/>
    <mergeCell ref="AM2:AP2"/>
    <mergeCell ref="AM3:AP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3A8F-48FC-43D1-BACF-498E14875751}">
  <dimension ref="A3:Y88"/>
  <sheetViews>
    <sheetView topLeftCell="H22" zoomScale="120" zoomScaleNormal="120" workbookViewId="0">
      <selection activeCell="F8" sqref="F8"/>
    </sheetView>
  </sheetViews>
  <sheetFormatPr defaultRowHeight="14.5" x14ac:dyDescent="0.35"/>
  <cols>
    <col min="1" max="1" width="23.26953125" style="30" customWidth="1"/>
    <col min="2" max="2" width="12" style="35" customWidth="1"/>
    <col min="3" max="3" width="12" customWidth="1"/>
    <col min="4" max="4" width="13.08984375" customWidth="1"/>
    <col min="5" max="5" width="14.453125" customWidth="1"/>
    <col min="6" max="6" width="15.54296875" style="6" customWidth="1"/>
    <col min="7" max="7" width="14.7265625" bestFit="1" customWidth="1"/>
    <col min="9" max="9" width="3.08984375" bestFit="1" customWidth="1"/>
    <col min="10" max="10" width="10.90625" bestFit="1" customWidth="1"/>
    <col min="11" max="11" width="6.26953125" style="6" bestFit="1" customWidth="1"/>
    <col min="12" max="12" width="11.08984375" style="6" bestFit="1" customWidth="1"/>
    <col min="13" max="13" width="20.90625" style="6" bestFit="1" customWidth="1"/>
    <col min="14" max="14" width="17.26953125" style="6" bestFit="1" customWidth="1"/>
    <col min="15" max="15" width="12.453125" style="6" customWidth="1"/>
    <col min="16" max="16" width="13.90625" bestFit="1" customWidth="1"/>
    <col min="17" max="17" width="20.54296875" bestFit="1" customWidth="1"/>
    <col min="18" max="18" width="18.26953125" customWidth="1"/>
    <col min="19" max="19" width="18.6328125" bestFit="1" customWidth="1"/>
    <col min="20" max="20" width="26.36328125" customWidth="1"/>
    <col min="21" max="21" width="18.6328125" bestFit="1" customWidth="1"/>
    <col min="22" max="22" width="17.90625" customWidth="1"/>
    <col min="23" max="23" width="18.36328125" customWidth="1"/>
    <col min="24" max="24" width="19.26953125" customWidth="1"/>
    <col min="25" max="25" width="15.08984375" bestFit="1" customWidth="1"/>
  </cols>
  <sheetData>
    <row r="3" spans="2:20" x14ac:dyDescent="0.35">
      <c r="B3" s="217" t="s">
        <v>30</v>
      </c>
      <c r="C3" s="217"/>
      <c r="D3" s="217"/>
      <c r="E3" s="217"/>
      <c r="F3" s="217"/>
      <c r="G3" s="217"/>
      <c r="J3" s="217" t="s">
        <v>33</v>
      </c>
      <c r="K3" s="217"/>
      <c r="L3" s="217"/>
      <c r="M3" s="217"/>
      <c r="N3" s="217"/>
      <c r="O3" s="217"/>
      <c r="P3" s="217"/>
      <c r="Q3" s="217"/>
      <c r="S3" s="215" t="s">
        <v>34</v>
      </c>
      <c r="T3" s="215"/>
    </row>
    <row r="4" spans="2:20" s="30" customFormat="1" ht="29" x14ac:dyDescent="0.35">
      <c r="B4" s="32" t="s">
        <v>8</v>
      </c>
      <c r="C4" s="33" t="s">
        <v>3</v>
      </c>
      <c r="D4" s="33" t="s">
        <v>4</v>
      </c>
      <c r="E4" s="32" t="s">
        <v>15</v>
      </c>
      <c r="F4" s="32" t="s">
        <v>29</v>
      </c>
      <c r="G4" s="33" t="s">
        <v>5</v>
      </c>
      <c r="J4" s="33"/>
      <c r="K4" s="33"/>
      <c r="L4" s="36">
        <f>Navigasi!B30</f>
        <v>0</v>
      </c>
      <c r="M4" s="36">
        <f>Navigasi!B31</f>
        <v>0</v>
      </c>
      <c r="N4" s="36">
        <f>Navigasi!B32</f>
        <v>0</v>
      </c>
      <c r="O4" s="36">
        <f>Navigasi!B33</f>
        <v>0</v>
      </c>
      <c r="P4" s="36">
        <f>Navigasi!B34</f>
        <v>0</v>
      </c>
      <c r="Q4" s="32" t="s">
        <v>36</v>
      </c>
      <c r="S4" s="33">
        <v>1</v>
      </c>
      <c r="T4" s="37" t="str">
        <f>Navigasi!G16</f>
        <v>Biaya Akuisisi Pelanggan</v>
      </c>
    </row>
    <row r="5" spans="2:20" s="30" customFormat="1" x14ac:dyDescent="0.35">
      <c r="B5" s="32">
        <v>1</v>
      </c>
      <c r="C5" s="37">
        <f>Navigasi!B20</f>
        <v>0</v>
      </c>
      <c r="D5" s="38">
        <f>Navigasi!C20</f>
        <v>0</v>
      </c>
      <c r="E5" s="39">
        <f>Navigasi!D20</f>
        <v>0</v>
      </c>
      <c r="F5" s="40" t="e">
        <f>G5/D5</f>
        <v>#DIV/0!</v>
      </c>
      <c r="G5" s="41">
        <f>E5*G12</f>
        <v>0</v>
      </c>
      <c r="J5" s="33">
        <v>1</v>
      </c>
      <c r="K5" s="33">
        <f>C5</f>
        <v>0</v>
      </c>
      <c r="L5" s="69">
        <f>Navigasi!C30</f>
        <v>0</v>
      </c>
      <c r="M5" s="69">
        <f>Navigasi!C31</f>
        <v>0</v>
      </c>
      <c r="N5" s="69">
        <f>Navigasi!C32</f>
        <v>0</v>
      </c>
      <c r="O5" s="70">
        <f>Navigasi!C33</f>
        <v>0</v>
      </c>
      <c r="P5" s="70">
        <f>Navigasi!C34</f>
        <v>0</v>
      </c>
      <c r="Q5" s="71">
        <f>SUM(L5:P5)</f>
        <v>0</v>
      </c>
      <c r="S5" s="33">
        <v>2</v>
      </c>
      <c r="T5" s="37" t="str">
        <f>Navigasi!G17</f>
        <v>Biaya Gaji</v>
      </c>
    </row>
    <row r="6" spans="2:20" s="30" customFormat="1" x14ac:dyDescent="0.35">
      <c r="B6" s="32">
        <v>2</v>
      </c>
      <c r="C6" s="37">
        <f>Navigasi!B21</f>
        <v>0</v>
      </c>
      <c r="D6" s="38">
        <f>Navigasi!C21</f>
        <v>0</v>
      </c>
      <c r="E6" s="39">
        <f>Navigasi!D21</f>
        <v>0</v>
      </c>
      <c r="F6" s="40" t="e">
        <f>G6/D6</f>
        <v>#DIV/0!</v>
      </c>
      <c r="G6" s="41">
        <f>E6*G12</f>
        <v>0</v>
      </c>
      <c r="J6" s="33">
        <v>2</v>
      </c>
      <c r="K6" s="33">
        <f>C6</f>
        <v>0</v>
      </c>
      <c r="L6" s="69">
        <f>Navigasi!D30</f>
        <v>0</v>
      </c>
      <c r="M6" s="69">
        <f>Navigasi!D31</f>
        <v>0</v>
      </c>
      <c r="N6" s="69">
        <f>Navigasi!D32</f>
        <v>0</v>
      </c>
      <c r="O6" s="70">
        <f>Navigasi!D33</f>
        <v>0</v>
      </c>
      <c r="P6" s="70">
        <f>Navigasi!D34</f>
        <v>0</v>
      </c>
      <c r="Q6" s="71">
        <f>SUM(L6:P6)</f>
        <v>0</v>
      </c>
      <c r="S6" s="33">
        <v>3</v>
      </c>
      <c r="T6" s="37">
        <f>Navigasi!G18</f>
        <v>0</v>
      </c>
    </row>
    <row r="7" spans="2:20" s="30" customFormat="1" x14ac:dyDescent="0.35">
      <c r="B7" s="32">
        <v>3</v>
      </c>
      <c r="C7" s="37">
        <f>Navigasi!B22</f>
        <v>0</v>
      </c>
      <c r="D7" s="38">
        <f>Navigasi!C22</f>
        <v>0</v>
      </c>
      <c r="E7" s="39">
        <f>Navigasi!D22</f>
        <v>0</v>
      </c>
      <c r="F7" s="40" t="e">
        <f>G7/D7</f>
        <v>#DIV/0!</v>
      </c>
      <c r="G7" s="41">
        <f>E7*G12</f>
        <v>0</v>
      </c>
      <c r="J7" s="33">
        <v>3</v>
      </c>
      <c r="K7" s="33">
        <f>C7</f>
        <v>0</v>
      </c>
      <c r="L7" s="69">
        <f>Navigasi!E30</f>
        <v>0</v>
      </c>
      <c r="M7" s="69">
        <f>Navigasi!E31</f>
        <v>0</v>
      </c>
      <c r="N7" s="69">
        <f>Navigasi!E32</f>
        <v>0</v>
      </c>
      <c r="O7" s="70">
        <f>Navigasi!E33</f>
        <v>0</v>
      </c>
      <c r="P7" s="70">
        <f>Navigasi!E34</f>
        <v>0</v>
      </c>
      <c r="Q7" s="71">
        <f>SUM(L7:P7)</f>
        <v>0</v>
      </c>
      <c r="S7" s="33">
        <v>4</v>
      </c>
      <c r="T7" s="37">
        <f>Navigasi!G19</f>
        <v>0</v>
      </c>
    </row>
    <row r="8" spans="2:20" s="30" customFormat="1" x14ac:dyDescent="0.35">
      <c r="B8" s="32">
        <v>4</v>
      </c>
      <c r="C8" s="37">
        <f>Navigasi!B23</f>
        <v>0</v>
      </c>
      <c r="D8" s="38">
        <f>Navigasi!C23</f>
        <v>0</v>
      </c>
      <c r="E8" s="39">
        <f>Navigasi!D23</f>
        <v>0</v>
      </c>
      <c r="F8" s="220" t="e">
        <f>G8/D8</f>
        <v>#DIV/0!</v>
      </c>
      <c r="G8" s="41">
        <f>E8*G12</f>
        <v>0</v>
      </c>
      <c r="J8" s="33">
        <v>4</v>
      </c>
      <c r="K8" s="33">
        <f>C8</f>
        <v>0</v>
      </c>
      <c r="L8" s="69">
        <f>Navigasi!H30</f>
        <v>0</v>
      </c>
      <c r="M8" s="69">
        <f>Navigasi!H31</f>
        <v>0</v>
      </c>
      <c r="N8" s="69">
        <f>Navigasi!H32</f>
        <v>0</v>
      </c>
      <c r="O8" s="70">
        <f>Navigasi!H33</f>
        <v>0</v>
      </c>
      <c r="P8" s="70">
        <f>Navigasi!H34</f>
        <v>0</v>
      </c>
      <c r="Q8" s="71">
        <f>SUM(L8:P8)</f>
        <v>0</v>
      </c>
      <c r="S8" s="33">
        <v>5</v>
      </c>
      <c r="T8" s="37">
        <f>Navigasi!G20</f>
        <v>0</v>
      </c>
    </row>
    <row r="9" spans="2:20" s="30" customFormat="1" x14ac:dyDescent="0.35">
      <c r="B9" s="32">
        <v>5</v>
      </c>
      <c r="C9" s="37">
        <f>Navigasi!B24</f>
        <v>0</v>
      </c>
      <c r="D9" s="38">
        <f>Navigasi!C24</f>
        <v>0</v>
      </c>
      <c r="E9" s="39">
        <f>Navigasi!D24</f>
        <v>0</v>
      </c>
      <c r="F9" s="40" t="e">
        <f>G9/D9</f>
        <v>#DIV/0!</v>
      </c>
      <c r="G9" s="41">
        <f>E9*G12</f>
        <v>0</v>
      </c>
      <c r="J9" s="33">
        <v>5</v>
      </c>
      <c r="K9" s="33">
        <f>C9</f>
        <v>0</v>
      </c>
      <c r="L9" s="69">
        <f>Navigasi!I30</f>
        <v>0</v>
      </c>
      <c r="M9" s="69">
        <f>Navigasi!I31</f>
        <v>0</v>
      </c>
      <c r="N9" s="69">
        <f>Navigasi!I32</f>
        <v>0</v>
      </c>
      <c r="O9" s="70">
        <f>Navigasi!I33</f>
        <v>0</v>
      </c>
      <c r="P9" s="70">
        <f>Navigasi!I34</f>
        <v>0</v>
      </c>
      <c r="Q9" s="71">
        <f>SUM(L9:P9)</f>
        <v>0</v>
      </c>
      <c r="S9" s="33">
        <v>6</v>
      </c>
      <c r="T9" s="37">
        <f>Navigasi!G21</f>
        <v>0</v>
      </c>
    </row>
    <row r="10" spans="2:20" x14ac:dyDescent="0.35">
      <c r="B10" s="32"/>
      <c r="C10" s="10"/>
      <c r="D10" s="10"/>
      <c r="E10" s="14"/>
      <c r="F10" s="17"/>
      <c r="G10" s="11">
        <f>E10*G12</f>
        <v>0</v>
      </c>
      <c r="S10" s="10">
        <v>7</v>
      </c>
      <c r="T10" s="37">
        <f>Navigasi!G22</f>
        <v>0</v>
      </c>
    </row>
    <row r="11" spans="2:20" x14ac:dyDescent="0.35">
      <c r="B11" s="32"/>
      <c r="C11" s="10"/>
      <c r="D11" s="10"/>
      <c r="E11" s="14">
        <f>SUM(E5:E10)</f>
        <v>0</v>
      </c>
      <c r="F11" s="8"/>
      <c r="G11" s="11"/>
      <c r="S11" s="10">
        <v>8</v>
      </c>
      <c r="T11" s="37">
        <f>Navigasi!G23</f>
        <v>0</v>
      </c>
    </row>
    <row r="12" spans="2:20" x14ac:dyDescent="0.35">
      <c r="B12" s="211" t="s">
        <v>6</v>
      </c>
      <c r="C12" s="211"/>
      <c r="D12" s="211"/>
      <c r="E12" s="211"/>
      <c r="F12" s="211"/>
      <c r="G12" s="68">
        <f>E36</f>
        <v>0</v>
      </c>
      <c r="J12" s="60" t="s">
        <v>37</v>
      </c>
      <c r="S12" s="134">
        <v>9</v>
      </c>
      <c r="T12">
        <f>Navigasi!G24</f>
        <v>0</v>
      </c>
    </row>
    <row r="13" spans="2:20" x14ac:dyDescent="0.35">
      <c r="J13" s="26">
        <f>Navigasi!C12</f>
        <v>0</v>
      </c>
    </row>
    <row r="14" spans="2:20" x14ac:dyDescent="0.35">
      <c r="B14" s="215" t="s">
        <v>39</v>
      </c>
      <c r="C14" s="215"/>
      <c r="D14" s="215"/>
      <c r="E14" s="215"/>
      <c r="F14" s="215"/>
    </row>
    <row r="15" spans="2:20" x14ac:dyDescent="0.35">
      <c r="B15" s="32"/>
      <c r="C15" s="10" t="s">
        <v>9</v>
      </c>
      <c r="D15" s="10" t="s">
        <v>10</v>
      </c>
      <c r="E15" s="10" t="s">
        <v>11</v>
      </c>
      <c r="F15" s="10" t="s">
        <v>12</v>
      </c>
      <c r="O15" s="24"/>
    </row>
    <row r="16" spans="2:20" x14ac:dyDescent="0.35">
      <c r="B16" s="32" t="s">
        <v>40</v>
      </c>
      <c r="C16" s="26">
        <f>Navigasi!H9</f>
        <v>0</v>
      </c>
      <c r="D16" s="26">
        <f>Navigasi!H10</f>
        <v>0</v>
      </c>
      <c r="E16" s="26">
        <f>Navigasi!H11</f>
        <v>0</v>
      </c>
      <c r="F16" s="10"/>
      <c r="O16" s="24"/>
    </row>
    <row r="17" spans="2:25" x14ac:dyDescent="0.35">
      <c r="B17" s="32" t="s">
        <v>14</v>
      </c>
      <c r="C17" s="43">
        <f>C16*F17</f>
        <v>0</v>
      </c>
      <c r="D17" s="43">
        <f>D16*F17</f>
        <v>0</v>
      </c>
      <c r="E17" s="43">
        <f>E16*F17</f>
        <v>0</v>
      </c>
      <c r="F17" s="44">
        <f>Navigasi!K7</f>
        <v>0</v>
      </c>
      <c r="K17" s="22"/>
      <c r="L17" s="22"/>
      <c r="M17" s="22"/>
      <c r="N17" s="22"/>
      <c r="O17" s="24"/>
      <c r="P17" s="9"/>
    </row>
    <row r="18" spans="2:25" x14ac:dyDescent="0.35">
      <c r="B18" s="32"/>
      <c r="C18" s="10"/>
      <c r="D18" s="10"/>
      <c r="E18" s="10"/>
      <c r="F18" s="8"/>
      <c r="J18" t="s">
        <v>93</v>
      </c>
      <c r="O18" s="25">
        <f>Navigasi!C13</f>
        <v>0</v>
      </c>
    </row>
    <row r="19" spans="2:25" x14ac:dyDescent="0.35">
      <c r="B19" s="32"/>
      <c r="C19" s="7" t="s">
        <v>13</v>
      </c>
      <c r="D19" s="10"/>
      <c r="E19" s="10"/>
      <c r="F19" s="20">
        <f>Navigasi!J12</f>
        <v>0</v>
      </c>
      <c r="J19" t="s">
        <v>94</v>
      </c>
      <c r="O19" s="25">
        <f>Navigasi!C14</f>
        <v>0</v>
      </c>
    </row>
    <row r="20" spans="2:25" x14ac:dyDescent="0.35">
      <c r="B20" s="32"/>
      <c r="C20" s="10"/>
      <c r="D20" s="10"/>
      <c r="E20" s="10"/>
      <c r="F20" s="27" t="e">
        <f>F17/F19</f>
        <v>#DIV/0!</v>
      </c>
    </row>
    <row r="21" spans="2:25" x14ac:dyDescent="0.35">
      <c r="E21" s="12"/>
    </row>
    <row r="22" spans="2:25" x14ac:dyDescent="0.35">
      <c r="I22" s="215" t="s">
        <v>31</v>
      </c>
      <c r="J22" s="215"/>
      <c r="K22" s="215"/>
      <c r="L22" s="215"/>
      <c r="M22" s="215"/>
      <c r="N22" s="215"/>
      <c r="O22" s="215"/>
      <c r="P22" s="215"/>
    </row>
    <row r="23" spans="2:25" x14ac:dyDescent="0.35">
      <c r="B23" s="35" t="s">
        <v>8</v>
      </c>
      <c r="C23" t="s">
        <v>16</v>
      </c>
      <c r="D23" t="s">
        <v>28</v>
      </c>
      <c r="E23" t="s">
        <v>9</v>
      </c>
      <c r="F23" s="6" t="s">
        <v>10</v>
      </c>
      <c r="G23" t="s">
        <v>11</v>
      </c>
      <c r="I23" s="10"/>
      <c r="J23" s="10"/>
      <c r="K23" s="8">
        <f>C5</f>
        <v>0</v>
      </c>
      <c r="L23" s="8">
        <f>C6</f>
        <v>0</v>
      </c>
      <c r="M23" s="8">
        <f>C7</f>
        <v>0</v>
      </c>
      <c r="N23" s="8">
        <f>C8</f>
        <v>0</v>
      </c>
      <c r="O23" s="8">
        <f>C9</f>
        <v>0</v>
      </c>
      <c r="P23" s="10" t="s">
        <v>32</v>
      </c>
      <c r="Q23" t="str">
        <f>T4</f>
        <v>Biaya Akuisisi Pelanggan</v>
      </c>
      <c r="R23" t="str">
        <f>T5</f>
        <v>Biaya Gaji</v>
      </c>
      <c r="S23">
        <f>T6</f>
        <v>0</v>
      </c>
      <c r="T23">
        <f>T7</f>
        <v>0</v>
      </c>
      <c r="U23">
        <f>T8</f>
        <v>0</v>
      </c>
      <c r="V23">
        <f>T9</f>
        <v>0</v>
      </c>
      <c r="W23">
        <f>T10</f>
        <v>0</v>
      </c>
      <c r="X23">
        <f>T11</f>
        <v>0</v>
      </c>
      <c r="Y23">
        <f>T12</f>
        <v>0</v>
      </c>
    </row>
    <row r="24" spans="2:25" x14ac:dyDescent="0.35">
      <c r="B24" s="35">
        <v>1</v>
      </c>
      <c r="C24" t="s">
        <v>17</v>
      </c>
      <c r="D24" s="25">
        <f>Navigasi!M16</f>
        <v>0</v>
      </c>
      <c r="E24" s="12">
        <f>D24*C17</f>
        <v>0</v>
      </c>
      <c r="F24" s="21">
        <f>D24*D17</f>
        <v>0</v>
      </c>
      <c r="G24" s="12">
        <f>D24*E17</f>
        <v>0</v>
      </c>
      <c r="I24" s="10">
        <v>1</v>
      </c>
      <c r="J24" s="135" t="str">
        <f>Navigasi!L16</f>
        <v>JANUARI</v>
      </c>
      <c r="K24" s="16" t="e">
        <f>(E5*E24)/D5</f>
        <v>#DIV/0!</v>
      </c>
      <c r="L24" s="16" t="e">
        <f>(E6*E24)/D6</f>
        <v>#DIV/0!</v>
      </c>
      <c r="M24" s="16" t="e">
        <f>(E7*E24)/D7</f>
        <v>#DIV/0!</v>
      </c>
      <c r="N24" s="16" t="e">
        <f>(E8*E24)/D8</f>
        <v>#DIV/0!</v>
      </c>
      <c r="O24" s="16" t="e">
        <f>(E9*E24)/D9</f>
        <v>#DIV/0!</v>
      </c>
      <c r="P24" s="28" t="e">
        <f>(K24*Q5)+(L24*Q6)+(M24*Q7)+(N24*Q8)+(O24*Q9)</f>
        <v>#DIV/0!</v>
      </c>
      <c r="Q24" s="23">
        <f>Navigasi!J16</f>
        <v>0</v>
      </c>
      <c r="R24" s="23">
        <f>Navigasi!J17</f>
        <v>0</v>
      </c>
      <c r="S24" s="23">
        <f>Navigasi!J18</f>
        <v>0</v>
      </c>
      <c r="T24" s="23">
        <f>Navigasi!J19</f>
        <v>0</v>
      </c>
      <c r="U24" s="23">
        <f>Navigasi!J20</f>
        <v>0</v>
      </c>
      <c r="V24" s="23">
        <f>Navigasi!J21</f>
        <v>0</v>
      </c>
      <c r="W24" s="23">
        <f>Navigasi!J22</f>
        <v>0</v>
      </c>
      <c r="X24" s="23">
        <f>Navigasi!J23</f>
        <v>0</v>
      </c>
      <c r="Y24">
        <f>Navigasi!J24</f>
        <v>0</v>
      </c>
    </row>
    <row r="25" spans="2:25" x14ac:dyDescent="0.35">
      <c r="B25" s="35">
        <v>2</v>
      </c>
      <c r="C25" t="s">
        <v>18</v>
      </c>
      <c r="D25" s="25">
        <f>Navigasi!M17</f>
        <v>0</v>
      </c>
      <c r="E25" s="12">
        <f>D25*C17</f>
        <v>0</v>
      </c>
      <c r="F25" s="21">
        <f>D25*D17</f>
        <v>0</v>
      </c>
      <c r="G25" s="12">
        <f>D25*E17</f>
        <v>0</v>
      </c>
      <c r="I25" s="10">
        <v>2</v>
      </c>
      <c r="J25" s="135" t="str">
        <f>Navigasi!L17</f>
        <v>FEBRUARI</v>
      </c>
      <c r="K25" s="16" t="e">
        <f>(E5*E25)/D5</f>
        <v>#DIV/0!</v>
      </c>
      <c r="L25" s="16" t="e">
        <f>(E6*E25)/D6</f>
        <v>#DIV/0!</v>
      </c>
      <c r="M25" s="16" t="e">
        <f>(E7*E25)/D7</f>
        <v>#DIV/0!</v>
      </c>
      <c r="N25" s="16" t="e">
        <f>(E8*E25)/D8</f>
        <v>#DIV/0!</v>
      </c>
      <c r="O25" s="16" t="e">
        <f>(E9*E25)/D9</f>
        <v>#DIV/0!</v>
      </c>
      <c r="P25" s="28" t="e">
        <f>(K25*Q5)+(L25*Q6)+(M25*Q7)+(N25*Q8)+(O25*Q9)</f>
        <v>#DIV/0!</v>
      </c>
      <c r="Q25" s="23">
        <f>Navigasi!J16</f>
        <v>0</v>
      </c>
      <c r="R25" s="23">
        <f>Navigasi!J17</f>
        <v>0</v>
      </c>
      <c r="S25" s="23">
        <f>Navigasi!J18</f>
        <v>0</v>
      </c>
      <c r="T25" s="23">
        <f>Navigasi!J19</f>
        <v>0</v>
      </c>
      <c r="U25" s="23">
        <f>U24</f>
        <v>0</v>
      </c>
      <c r="V25" s="23">
        <f>V24</f>
        <v>0</v>
      </c>
      <c r="W25" s="23">
        <f>W24</f>
        <v>0</v>
      </c>
      <c r="X25" s="23">
        <f>X24</f>
        <v>0</v>
      </c>
      <c r="Y25" s="23">
        <f>Navigasi!J24</f>
        <v>0</v>
      </c>
    </row>
    <row r="26" spans="2:25" x14ac:dyDescent="0.35">
      <c r="B26" s="35">
        <v>3</v>
      </c>
      <c r="C26" t="s">
        <v>19</v>
      </c>
      <c r="D26" s="25">
        <f>Navigasi!M18</f>
        <v>0</v>
      </c>
      <c r="E26" s="12">
        <f>D26*C17</f>
        <v>0</v>
      </c>
      <c r="F26" s="21">
        <f>D26*D17</f>
        <v>0</v>
      </c>
      <c r="G26" s="12">
        <f>D26*E17</f>
        <v>0</v>
      </c>
      <c r="I26" s="10">
        <v>3</v>
      </c>
      <c r="J26" s="135" t="str">
        <f>Navigasi!L18</f>
        <v>MARET</v>
      </c>
      <c r="K26" s="16" t="e">
        <f>(E5*E26)/D5</f>
        <v>#DIV/0!</v>
      </c>
      <c r="L26" s="16" t="e">
        <f>(E6*E26)/D6</f>
        <v>#DIV/0!</v>
      </c>
      <c r="M26" s="16" t="e">
        <f>(E7*E26)/D7</f>
        <v>#DIV/0!</v>
      </c>
      <c r="N26" s="16" t="e">
        <f>(E8*E26)/D8</f>
        <v>#DIV/0!</v>
      </c>
      <c r="O26" s="16" t="e">
        <f>(E9*E26)/D9</f>
        <v>#DIV/0!</v>
      </c>
      <c r="P26" s="28" t="e">
        <f>(K26*Q5)+(Q6*L26)+(M26*Q7)+(N26*Q8)+(O26*Q9)</f>
        <v>#DIV/0!</v>
      </c>
      <c r="Q26" s="23">
        <f>Q25</f>
        <v>0</v>
      </c>
      <c r="R26" s="23">
        <f>R25</f>
        <v>0</v>
      </c>
      <c r="S26" s="23">
        <f>S25</f>
        <v>0</v>
      </c>
      <c r="T26" s="23">
        <f>T25</f>
        <v>0</v>
      </c>
      <c r="U26" s="23">
        <f t="shared" ref="U26:U35" si="0">U25</f>
        <v>0</v>
      </c>
      <c r="V26" s="23">
        <f t="shared" ref="V26:V35" si="1">V25</f>
        <v>0</v>
      </c>
      <c r="W26" s="23">
        <f t="shared" ref="W26:W35" si="2">W25</f>
        <v>0</v>
      </c>
      <c r="X26" s="23">
        <f t="shared" ref="X26:Y35" si="3">X25</f>
        <v>0</v>
      </c>
      <c r="Y26" s="9">
        <f>Y25</f>
        <v>0</v>
      </c>
    </row>
    <row r="27" spans="2:25" x14ac:dyDescent="0.35">
      <c r="B27" s="35">
        <v>4</v>
      </c>
      <c r="C27" t="s">
        <v>20</v>
      </c>
      <c r="D27" s="25">
        <f>Navigasi!M19</f>
        <v>0</v>
      </c>
      <c r="E27" s="12">
        <f>D27*C17</f>
        <v>0</v>
      </c>
      <c r="F27" s="21">
        <f>D27*D17</f>
        <v>0</v>
      </c>
      <c r="G27" s="12">
        <f>D27*E17</f>
        <v>0</v>
      </c>
      <c r="I27" s="10">
        <v>4</v>
      </c>
      <c r="J27" s="135" t="str">
        <f>Navigasi!L19</f>
        <v>APRIL</v>
      </c>
      <c r="K27" s="16" t="e">
        <f>(E5*E27)/D5</f>
        <v>#DIV/0!</v>
      </c>
      <c r="L27" s="16" t="e">
        <f>(E6*E27)/D6</f>
        <v>#DIV/0!</v>
      </c>
      <c r="M27" s="16" t="e">
        <f>(E7*E27)/D7</f>
        <v>#DIV/0!</v>
      </c>
      <c r="N27" s="16" t="e">
        <f>(E8*E27)/D8</f>
        <v>#DIV/0!</v>
      </c>
      <c r="O27" s="16" t="e">
        <f>(E9*E27)/D9</f>
        <v>#DIV/0!</v>
      </c>
      <c r="P27" s="28" t="e">
        <f>(K27*Q5)+(Q6*L27)+(M27*Q7)+(Q8*N27)+(O27*Q9)</f>
        <v>#DIV/0!</v>
      </c>
      <c r="Q27" s="23">
        <f t="shared" ref="Q27:Q35" si="4">Q26</f>
        <v>0</v>
      </c>
      <c r="R27" s="23">
        <f t="shared" ref="R27:R35" si="5">R26</f>
        <v>0</v>
      </c>
      <c r="S27" s="23">
        <f t="shared" ref="S27:S35" si="6">S26</f>
        <v>0</v>
      </c>
      <c r="T27" s="23">
        <f t="shared" ref="T27:T35" si="7">T26</f>
        <v>0</v>
      </c>
      <c r="U27" s="23">
        <f t="shared" si="0"/>
        <v>0</v>
      </c>
      <c r="V27" s="23">
        <f t="shared" si="1"/>
        <v>0</v>
      </c>
      <c r="W27" s="23">
        <f t="shared" si="2"/>
        <v>0</v>
      </c>
      <c r="X27" s="23">
        <f t="shared" si="3"/>
        <v>0</v>
      </c>
      <c r="Y27" s="9">
        <f t="shared" si="3"/>
        <v>0</v>
      </c>
    </row>
    <row r="28" spans="2:25" x14ac:dyDescent="0.35">
      <c r="B28" s="35">
        <v>5</v>
      </c>
      <c r="C28" t="s">
        <v>21</v>
      </c>
      <c r="D28" s="25">
        <f>Navigasi!M20</f>
        <v>0</v>
      </c>
      <c r="E28" s="12">
        <f>D28*C17</f>
        <v>0</v>
      </c>
      <c r="F28" s="21">
        <f>D28*D17</f>
        <v>0</v>
      </c>
      <c r="G28" s="12">
        <f>D28*E17</f>
        <v>0</v>
      </c>
      <c r="I28" s="10">
        <v>5</v>
      </c>
      <c r="J28" s="135" t="str">
        <f>Navigasi!L20</f>
        <v>MEI</v>
      </c>
      <c r="K28" s="16" t="e">
        <f>(E5*E28)/D5</f>
        <v>#DIV/0!</v>
      </c>
      <c r="L28" s="16" t="e">
        <f>(E6*E28)/D6</f>
        <v>#DIV/0!</v>
      </c>
      <c r="M28" s="16" t="e">
        <f>(E7*E28)/D7</f>
        <v>#DIV/0!</v>
      </c>
      <c r="N28" s="16" t="e">
        <f>(E8*E28)/D8</f>
        <v>#DIV/0!</v>
      </c>
      <c r="O28" s="16" t="e">
        <f>(E9*E28)/D9</f>
        <v>#DIV/0!</v>
      </c>
      <c r="P28" s="28" t="e">
        <f>(K28*Q5)+(Q6*L28)+(M28*Q7)+(Q8*N28)+(O28*Q9)</f>
        <v>#DIV/0!</v>
      </c>
      <c r="Q28" s="23">
        <f t="shared" si="4"/>
        <v>0</v>
      </c>
      <c r="R28" s="23">
        <f t="shared" si="5"/>
        <v>0</v>
      </c>
      <c r="S28" s="23">
        <f t="shared" si="6"/>
        <v>0</v>
      </c>
      <c r="T28" s="23">
        <f t="shared" si="7"/>
        <v>0</v>
      </c>
      <c r="U28" s="23">
        <f t="shared" si="0"/>
        <v>0</v>
      </c>
      <c r="V28" s="23">
        <f t="shared" si="1"/>
        <v>0</v>
      </c>
      <c r="W28" s="23">
        <f t="shared" si="2"/>
        <v>0</v>
      </c>
      <c r="X28" s="23">
        <f t="shared" si="3"/>
        <v>0</v>
      </c>
      <c r="Y28" s="9">
        <f t="shared" si="3"/>
        <v>0</v>
      </c>
    </row>
    <row r="29" spans="2:25" x14ac:dyDescent="0.35">
      <c r="B29" s="35">
        <v>6</v>
      </c>
      <c r="C29" t="s">
        <v>22</v>
      </c>
      <c r="D29" s="25">
        <f>Navigasi!M21</f>
        <v>0</v>
      </c>
      <c r="E29" s="12">
        <f>D29*C17</f>
        <v>0</v>
      </c>
      <c r="F29" s="21">
        <f>D29*D17</f>
        <v>0</v>
      </c>
      <c r="G29" s="12">
        <f>D29*E17</f>
        <v>0</v>
      </c>
      <c r="I29" s="10">
        <v>6</v>
      </c>
      <c r="J29" s="135" t="str">
        <f>Navigasi!L21</f>
        <v>JUNI</v>
      </c>
      <c r="K29" s="16" t="e">
        <f>(E5*E29)/D5</f>
        <v>#DIV/0!</v>
      </c>
      <c r="L29" s="16" t="e">
        <f>(E6*E29)/D6</f>
        <v>#DIV/0!</v>
      </c>
      <c r="M29" s="16" t="e">
        <f>(E7*E29)/D7</f>
        <v>#DIV/0!</v>
      </c>
      <c r="N29" s="16" t="e">
        <f>(E8*E29)/D8</f>
        <v>#DIV/0!</v>
      </c>
      <c r="O29" s="16" t="e">
        <f>(E9*E29)/D9</f>
        <v>#DIV/0!</v>
      </c>
      <c r="P29" s="28" t="e">
        <f>(K29*Q5)+(Q6*L29)+(M29*Q7)+(Q8*N29)+(O29*Q9)</f>
        <v>#DIV/0!</v>
      </c>
      <c r="Q29" s="23">
        <f t="shared" si="4"/>
        <v>0</v>
      </c>
      <c r="R29" s="23">
        <f t="shared" si="5"/>
        <v>0</v>
      </c>
      <c r="S29" s="23">
        <f t="shared" si="6"/>
        <v>0</v>
      </c>
      <c r="T29" s="23">
        <f t="shared" si="7"/>
        <v>0</v>
      </c>
      <c r="U29" s="23">
        <f t="shared" si="0"/>
        <v>0</v>
      </c>
      <c r="V29" s="23">
        <f t="shared" si="1"/>
        <v>0</v>
      </c>
      <c r="W29" s="23">
        <f t="shared" si="2"/>
        <v>0</v>
      </c>
      <c r="X29" s="23">
        <f t="shared" si="3"/>
        <v>0</v>
      </c>
      <c r="Y29" s="9">
        <f t="shared" si="3"/>
        <v>0</v>
      </c>
    </row>
    <row r="30" spans="2:25" x14ac:dyDescent="0.35">
      <c r="B30" s="35">
        <v>7</v>
      </c>
      <c r="C30" t="s">
        <v>23</v>
      </c>
      <c r="D30" s="25">
        <f>Navigasi!M22</f>
        <v>0</v>
      </c>
      <c r="E30" s="12">
        <f>D30*C17</f>
        <v>0</v>
      </c>
      <c r="F30" s="21">
        <f>D30*D17</f>
        <v>0</v>
      </c>
      <c r="G30" s="12">
        <f>D30*E17</f>
        <v>0</v>
      </c>
      <c r="I30" s="10">
        <v>7</v>
      </c>
      <c r="J30" s="135" t="str">
        <f>Navigasi!L22</f>
        <v>JULI</v>
      </c>
      <c r="K30" s="16" t="e">
        <f>(E30*E5)/D5</f>
        <v>#DIV/0!</v>
      </c>
      <c r="L30" s="16" t="e">
        <f>(E6*E30)/D6</f>
        <v>#DIV/0!</v>
      </c>
      <c r="M30" s="16" t="e">
        <f>(E7*E30)/D7</f>
        <v>#DIV/0!</v>
      </c>
      <c r="N30" s="16" t="e">
        <f>(E8*E30)/D8</f>
        <v>#DIV/0!</v>
      </c>
      <c r="O30" s="16" t="e">
        <f>(E9*E30)/D9</f>
        <v>#DIV/0!</v>
      </c>
      <c r="P30" s="28" t="e">
        <f>(K30*Q5)+(Q6*L30)+(M30*Q7)+(Q8*N30)+(O30*Q9)</f>
        <v>#DIV/0!</v>
      </c>
      <c r="Q30" s="23">
        <f t="shared" si="4"/>
        <v>0</v>
      </c>
      <c r="R30" s="23">
        <f t="shared" si="5"/>
        <v>0</v>
      </c>
      <c r="S30" s="23">
        <f t="shared" si="6"/>
        <v>0</v>
      </c>
      <c r="T30" s="23">
        <f t="shared" si="7"/>
        <v>0</v>
      </c>
      <c r="U30" s="23">
        <f t="shared" si="0"/>
        <v>0</v>
      </c>
      <c r="V30" s="23">
        <f t="shared" si="1"/>
        <v>0</v>
      </c>
      <c r="W30" s="23">
        <f t="shared" si="2"/>
        <v>0</v>
      </c>
      <c r="X30" s="23">
        <f t="shared" si="3"/>
        <v>0</v>
      </c>
      <c r="Y30" s="9">
        <f t="shared" si="3"/>
        <v>0</v>
      </c>
    </row>
    <row r="31" spans="2:25" x14ac:dyDescent="0.35">
      <c r="B31" s="35">
        <v>8</v>
      </c>
      <c r="C31" t="s">
        <v>24</v>
      </c>
      <c r="D31" s="25">
        <f>Navigasi!M23</f>
        <v>0</v>
      </c>
      <c r="E31" s="12">
        <f>D31*C17</f>
        <v>0</v>
      </c>
      <c r="F31" s="21">
        <f>D31*D17</f>
        <v>0</v>
      </c>
      <c r="G31" s="12">
        <f>D31*E17</f>
        <v>0</v>
      </c>
      <c r="I31" s="10">
        <v>8</v>
      </c>
      <c r="J31" s="135" t="str">
        <f>Navigasi!L23</f>
        <v>AGUSTUS</v>
      </c>
      <c r="K31" s="16" t="e">
        <f>(E5*E31)/D5</f>
        <v>#DIV/0!</v>
      </c>
      <c r="L31" s="16" t="e">
        <f>(E6*E31)/D6</f>
        <v>#DIV/0!</v>
      </c>
      <c r="M31" s="16" t="e">
        <f>(E7*E31)/D7</f>
        <v>#DIV/0!</v>
      </c>
      <c r="N31" s="16" t="e">
        <f>(E8*E31)/D8</f>
        <v>#DIV/0!</v>
      </c>
      <c r="O31" s="16" t="e">
        <f>(E9*E31)/D9</f>
        <v>#DIV/0!</v>
      </c>
      <c r="P31" s="28" t="e">
        <f>(K31*Q5)+(Q6*L31)+(M31*Q7)+(Q8*N31)+(O31*Q9)</f>
        <v>#DIV/0!</v>
      </c>
      <c r="Q31" s="23">
        <f t="shared" si="4"/>
        <v>0</v>
      </c>
      <c r="R31" s="23">
        <f t="shared" si="5"/>
        <v>0</v>
      </c>
      <c r="S31" s="23">
        <f t="shared" si="6"/>
        <v>0</v>
      </c>
      <c r="T31" s="23">
        <f t="shared" si="7"/>
        <v>0</v>
      </c>
      <c r="U31" s="23">
        <f t="shared" si="0"/>
        <v>0</v>
      </c>
      <c r="V31" s="23">
        <f t="shared" si="1"/>
        <v>0</v>
      </c>
      <c r="W31" s="23">
        <f t="shared" si="2"/>
        <v>0</v>
      </c>
      <c r="X31" s="23">
        <f t="shared" si="3"/>
        <v>0</v>
      </c>
      <c r="Y31" s="9">
        <f t="shared" si="3"/>
        <v>0</v>
      </c>
    </row>
    <row r="32" spans="2:25" x14ac:dyDescent="0.35">
      <c r="B32" s="35">
        <v>9</v>
      </c>
      <c r="C32" t="s">
        <v>38</v>
      </c>
      <c r="D32" s="25">
        <f>Navigasi!M24</f>
        <v>0</v>
      </c>
      <c r="E32" s="12">
        <f>D32*C17</f>
        <v>0</v>
      </c>
      <c r="F32" s="21">
        <f>D32*D17</f>
        <v>0</v>
      </c>
      <c r="G32" s="12">
        <f>D32*E17</f>
        <v>0</v>
      </c>
      <c r="I32" s="10">
        <v>9</v>
      </c>
      <c r="J32" s="135" t="str">
        <f>Navigasi!L24</f>
        <v>SEPTEMBER</v>
      </c>
      <c r="K32" s="16" t="e">
        <f>(E5*E32)/D5</f>
        <v>#DIV/0!</v>
      </c>
      <c r="L32" s="16" t="e">
        <f>(E6*E32)/D6</f>
        <v>#DIV/0!</v>
      </c>
      <c r="M32" s="16" t="e">
        <f>(E7*E32)/D7</f>
        <v>#DIV/0!</v>
      </c>
      <c r="N32" s="16" t="e">
        <f>(E8*E32)/D8</f>
        <v>#DIV/0!</v>
      </c>
      <c r="O32" s="16" t="e">
        <f>(E9*E32)/D9</f>
        <v>#DIV/0!</v>
      </c>
      <c r="P32" s="28" t="e">
        <f>(K32*Q5)+(Q6*L32)+(M32*Q7)+(N32*Q8)+(Q9*O32)</f>
        <v>#DIV/0!</v>
      </c>
      <c r="Q32" s="23">
        <f t="shared" si="4"/>
        <v>0</v>
      </c>
      <c r="R32" s="23">
        <f t="shared" si="5"/>
        <v>0</v>
      </c>
      <c r="S32" s="23">
        <f t="shared" si="6"/>
        <v>0</v>
      </c>
      <c r="T32" s="23">
        <f t="shared" si="7"/>
        <v>0</v>
      </c>
      <c r="U32" s="23">
        <f t="shared" si="0"/>
        <v>0</v>
      </c>
      <c r="V32" s="23">
        <f t="shared" si="1"/>
        <v>0</v>
      </c>
      <c r="W32" s="23">
        <f t="shared" si="2"/>
        <v>0</v>
      </c>
      <c r="X32" s="23">
        <f t="shared" si="3"/>
        <v>0</v>
      </c>
      <c r="Y32" s="9">
        <f t="shared" si="3"/>
        <v>0</v>
      </c>
    </row>
    <row r="33" spans="1:25" x14ac:dyDescent="0.35">
      <c r="B33" s="35">
        <v>10</v>
      </c>
      <c r="C33" t="s">
        <v>25</v>
      </c>
      <c r="D33" s="25">
        <f>Navigasi!M25</f>
        <v>0</v>
      </c>
      <c r="E33" s="12">
        <f>D33*C17</f>
        <v>0</v>
      </c>
      <c r="F33" s="21">
        <f>D33*D17</f>
        <v>0</v>
      </c>
      <c r="G33" s="12">
        <f>D33*E17</f>
        <v>0</v>
      </c>
      <c r="I33" s="10">
        <v>10</v>
      </c>
      <c r="J33" s="135" t="str">
        <f>Navigasi!L25</f>
        <v>OKTOBER</v>
      </c>
      <c r="K33" s="16" t="e">
        <f>(E5*E33)/D5</f>
        <v>#DIV/0!</v>
      </c>
      <c r="L33" s="16" t="e">
        <f>(E6*E33)/D6</f>
        <v>#DIV/0!</v>
      </c>
      <c r="M33" s="16" t="e">
        <f>(E7*E33)/D7</f>
        <v>#DIV/0!</v>
      </c>
      <c r="N33" s="16" t="e">
        <f>(E33*E8)/D8</f>
        <v>#DIV/0!</v>
      </c>
      <c r="O33" s="16" t="e">
        <f>(E9*E33)/D9</f>
        <v>#DIV/0!</v>
      </c>
      <c r="P33" s="28" t="e">
        <f>(K33*Q5)+(Q6*L33)+(M33*Q7)+(Q8*N33)+(O33*Q9)</f>
        <v>#DIV/0!</v>
      </c>
      <c r="Q33" s="23">
        <f t="shared" si="4"/>
        <v>0</v>
      </c>
      <c r="R33" s="23">
        <f t="shared" si="5"/>
        <v>0</v>
      </c>
      <c r="S33" s="23">
        <f t="shared" si="6"/>
        <v>0</v>
      </c>
      <c r="T33" s="23">
        <f t="shared" si="7"/>
        <v>0</v>
      </c>
      <c r="U33" s="23">
        <f t="shared" si="0"/>
        <v>0</v>
      </c>
      <c r="V33" s="23">
        <f t="shared" si="1"/>
        <v>0</v>
      </c>
      <c r="W33" s="23">
        <f t="shared" si="2"/>
        <v>0</v>
      </c>
      <c r="X33" s="23">
        <f t="shared" si="3"/>
        <v>0</v>
      </c>
      <c r="Y33" s="9">
        <f t="shared" si="3"/>
        <v>0</v>
      </c>
    </row>
    <row r="34" spans="1:25" x14ac:dyDescent="0.35">
      <c r="B34" s="35">
        <v>11</v>
      </c>
      <c r="C34" t="s">
        <v>26</v>
      </c>
      <c r="D34" s="25">
        <f>Navigasi!M26</f>
        <v>0</v>
      </c>
      <c r="E34" s="12">
        <f>D34*C17</f>
        <v>0</v>
      </c>
      <c r="F34" s="21">
        <f>D34*D17</f>
        <v>0</v>
      </c>
      <c r="G34" s="12">
        <f>D34*E17</f>
        <v>0</v>
      </c>
      <c r="I34" s="10">
        <v>11</v>
      </c>
      <c r="J34" s="135" t="str">
        <f>Navigasi!L26</f>
        <v>NOVEMBER</v>
      </c>
      <c r="K34" s="16" t="e">
        <f>(E34*E5)/D5</f>
        <v>#DIV/0!</v>
      </c>
      <c r="L34" s="16" t="e">
        <f>(E6*E34)/D6</f>
        <v>#DIV/0!</v>
      </c>
      <c r="M34" s="16" t="e">
        <f>(E7*E34)/D7</f>
        <v>#DIV/0!</v>
      </c>
      <c r="N34" s="16" t="e">
        <f>(E8*E34)/D8</f>
        <v>#DIV/0!</v>
      </c>
      <c r="O34" s="16" t="e">
        <f>(E9*E34)/D9</f>
        <v>#DIV/0!</v>
      </c>
      <c r="P34" s="28" t="e">
        <f>(K34*Q5)+(Q6*L34)+(M34*Q7)+(Q8*N34)+(O34*Q9)</f>
        <v>#DIV/0!</v>
      </c>
      <c r="Q34" s="23">
        <f t="shared" si="4"/>
        <v>0</v>
      </c>
      <c r="R34" s="23">
        <f t="shared" si="5"/>
        <v>0</v>
      </c>
      <c r="S34" s="23">
        <f t="shared" si="6"/>
        <v>0</v>
      </c>
      <c r="T34" s="23">
        <f t="shared" si="7"/>
        <v>0</v>
      </c>
      <c r="U34" s="23">
        <f t="shared" si="0"/>
        <v>0</v>
      </c>
      <c r="V34" s="23">
        <f t="shared" si="1"/>
        <v>0</v>
      </c>
      <c r="W34" s="23">
        <f t="shared" si="2"/>
        <v>0</v>
      </c>
      <c r="X34" s="23">
        <f t="shared" si="3"/>
        <v>0</v>
      </c>
      <c r="Y34" s="9">
        <f t="shared" si="3"/>
        <v>0</v>
      </c>
    </row>
    <row r="35" spans="1:25" x14ac:dyDescent="0.35">
      <c r="B35" s="35">
        <v>12</v>
      </c>
      <c r="C35" t="s">
        <v>27</v>
      </c>
      <c r="D35" s="25">
        <f>Navigasi!M27</f>
        <v>0</v>
      </c>
      <c r="E35" s="12">
        <f>D35*C17</f>
        <v>0</v>
      </c>
      <c r="F35" s="21">
        <f>D35*D17</f>
        <v>0</v>
      </c>
      <c r="G35" s="12">
        <f>D35*E17</f>
        <v>0</v>
      </c>
      <c r="I35" s="10">
        <v>12</v>
      </c>
      <c r="J35" s="135" t="str">
        <f>Navigasi!L27</f>
        <v>DESEMBER</v>
      </c>
      <c r="K35" s="16" t="e">
        <f>(E5*E35)/D5</f>
        <v>#DIV/0!</v>
      </c>
      <c r="L35" s="16" t="e">
        <f>(E6*E35)/D6</f>
        <v>#DIV/0!</v>
      </c>
      <c r="M35" s="16" t="e">
        <f>(E35*E7)/D7</f>
        <v>#DIV/0!</v>
      </c>
      <c r="N35" s="16" t="e">
        <f>(E8*E35)/D8</f>
        <v>#DIV/0!</v>
      </c>
      <c r="O35" s="16" t="e">
        <f>(E9*E35)/D9</f>
        <v>#DIV/0!</v>
      </c>
      <c r="P35" s="28" t="e">
        <f>(K35*Q5)+(Q6*L35)+(M35*Q7)+(Q8*N35)+(O35*Q9)</f>
        <v>#DIV/0!</v>
      </c>
      <c r="Q35" s="23">
        <f t="shared" si="4"/>
        <v>0</v>
      </c>
      <c r="R35" s="23">
        <f t="shared" si="5"/>
        <v>0</v>
      </c>
      <c r="S35" s="23">
        <f t="shared" si="6"/>
        <v>0</v>
      </c>
      <c r="T35" s="23">
        <f t="shared" si="7"/>
        <v>0</v>
      </c>
      <c r="U35" s="23">
        <f t="shared" si="0"/>
        <v>0</v>
      </c>
      <c r="V35" s="23">
        <f t="shared" si="1"/>
        <v>0</v>
      </c>
      <c r="W35" s="23">
        <f t="shared" si="2"/>
        <v>0</v>
      </c>
      <c r="X35" s="23">
        <f t="shared" si="3"/>
        <v>0</v>
      </c>
      <c r="Y35" s="9">
        <f t="shared" si="3"/>
        <v>0</v>
      </c>
    </row>
    <row r="36" spans="1:25" x14ac:dyDescent="0.35">
      <c r="D36" s="24">
        <f>SUM(D24:D35)</f>
        <v>0</v>
      </c>
      <c r="E36" s="12">
        <f>SUM(E24:E35)</f>
        <v>0</v>
      </c>
      <c r="F36" s="21">
        <f>SUM(F24:F35)</f>
        <v>0</v>
      </c>
      <c r="G36" s="12">
        <f>SUM(G24:G35)</f>
        <v>0</v>
      </c>
      <c r="I36" s="10"/>
      <c r="J36" s="10"/>
      <c r="K36" s="16" t="e">
        <f>SUM(K24:K35)</f>
        <v>#DIV/0!</v>
      </c>
      <c r="L36" s="16" t="e">
        <f>SUM(L24:L35)</f>
        <v>#DIV/0!</v>
      </c>
      <c r="M36" s="16" t="e">
        <f>SUM(M24:M35)</f>
        <v>#DIV/0!</v>
      </c>
      <c r="N36" s="16" t="e">
        <f>SUM(N24:N35)</f>
        <v>#DIV/0!</v>
      </c>
      <c r="O36" s="16" t="e">
        <f>SUM(O24:O35)</f>
        <v>#DIV/0!</v>
      </c>
      <c r="P36" s="80" t="e">
        <f>SUM(K36:O36)</f>
        <v>#DIV/0!</v>
      </c>
    </row>
    <row r="38" spans="1:25" x14ac:dyDescent="0.35">
      <c r="J38" s="215" t="s">
        <v>77</v>
      </c>
      <c r="K38" s="215"/>
      <c r="L38" s="215"/>
      <c r="M38" s="215"/>
      <c r="N38" s="215"/>
      <c r="O38" s="215"/>
      <c r="P38" s="215"/>
    </row>
    <row r="39" spans="1:25" x14ac:dyDescent="0.35">
      <c r="B39" s="215" t="s">
        <v>41</v>
      </c>
      <c r="C39" s="215"/>
      <c r="D39" s="215"/>
      <c r="E39" s="215"/>
      <c r="F39" s="215"/>
      <c r="J39" s="10"/>
      <c r="K39" s="8"/>
      <c r="L39" s="8" t="s">
        <v>66</v>
      </c>
      <c r="M39" s="8" t="s">
        <v>67</v>
      </c>
      <c r="N39" s="8" t="s">
        <v>68</v>
      </c>
      <c r="O39" s="8"/>
      <c r="P39" s="10"/>
    </row>
    <row r="40" spans="1:25" x14ac:dyDescent="0.35">
      <c r="B40" s="32"/>
      <c r="C40" s="10" t="s">
        <v>9</v>
      </c>
      <c r="D40" s="10" t="s">
        <v>10</v>
      </c>
      <c r="E40" s="10" t="s">
        <v>11</v>
      </c>
      <c r="F40" s="8" t="s">
        <v>12</v>
      </c>
      <c r="J40" s="10">
        <f>C5</f>
        <v>0</v>
      </c>
      <c r="K40" s="8"/>
      <c r="L40" s="64">
        <f>D5</f>
        <v>0</v>
      </c>
      <c r="M40" s="64">
        <f>Q5</f>
        <v>0</v>
      </c>
      <c r="N40" s="65">
        <f>E5</f>
        <v>0</v>
      </c>
      <c r="O40" s="8"/>
      <c r="P40" s="28">
        <f>(L40-M40)*N40</f>
        <v>0</v>
      </c>
    </row>
    <row r="41" spans="1:25" x14ac:dyDescent="0.35">
      <c r="B41" s="34" t="s">
        <v>43</v>
      </c>
      <c r="C41" s="20">
        <f>Navigasi!C11</f>
        <v>0</v>
      </c>
      <c r="D41" s="27" t="e">
        <f>D17/(C17/C41)</f>
        <v>#DIV/0!</v>
      </c>
      <c r="E41" s="10" t="e">
        <f>E17/(C17/C41)</f>
        <v>#DIV/0!</v>
      </c>
      <c r="F41" s="8" t="e">
        <f>SUM(C41:E41)</f>
        <v>#DIV/0!</v>
      </c>
      <c r="J41" s="10">
        <f>C6</f>
        <v>0</v>
      </c>
      <c r="K41" s="8"/>
      <c r="L41" s="64">
        <f>D6</f>
        <v>0</v>
      </c>
      <c r="M41" s="64">
        <f>Q6</f>
        <v>0</v>
      </c>
      <c r="N41" s="65">
        <f>E6</f>
        <v>0</v>
      </c>
      <c r="O41" s="8"/>
      <c r="P41" s="28">
        <f>(L41-M41)*N41</f>
        <v>0</v>
      </c>
    </row>
    <row r="42" spans="1:25" ht="29" x14ac:dyDescent="0.35">
      <c r="B42" s="34" t="s">
        <v>56</v>
      </c>
      <c r="C42" s="10">
        <f>C41</f>
        <v>0</v>
      </c>
      <c r="D42" s="27" t="e">
        <f>D41-C41</f>
        <v>#DIV/0!</v>
      </c>
      <c r="E42" s="27" t="e">
        <f>E41-D41</f>
        <v>#DIV/0!</v>
      </c>
      <c r="F42" s="8" t="e">
        <f>SUM(C42:E42)</f>
        <v>#DIV/0!</v>
      </c>
      <c r="J42" s="10">
        <f>C7</f>
        <v>0</v>
      </c>
      <c r="K42" s="8"/>
      <c r="L42" s="64">
        <f>D7</f>
        <v>0</v>
      </c>
      <c r="M42" s="64">
        <f>Q7</f>
        <v>0</v>
      </c>
      <c r="N42" s="65">
        <f>E7</f>
        <v>0</v>
      </c>
      <c r="O42" s="8"/>
      <c r="P42" s="28">
        <f>(L42-M42)*N42</f>
        <v>0</v>
      </c>
    </row>
    <row r="43" spans="1:25" x14ac:dyDescent="0.35">
      <c r="J43" s="10">
        <f>C8</f>
        <v>0</v>
      </c>
      <c r="K43" s="8"/>
      <c r="L43" s="64">
        <f>D8</f>
        <v>0</v>
      </c>
      <c r="M43" s="64">
        <f>Q8</f>
        <v>0</v>
      </c>
      <c r="N43" s="65">
        <f>E8</f>
        <v>0</v>
      </c>
      <c r="O43" s="8"/>
      <c r="P43" s="28">
        <f>(L43-M43)*N43</f>
        <v>0</v>
      </c>
    </row>
    <row r="44" spans="1:25" x14ac:dyDescent="0.35">
      <c r="J44" s="10">
        <f>C9</f>
        <v>0</v>
      </c>
      <c r="K44" s="8"/>
      <c r="L44" s="64">
        <f>D9</f>
        <v>0</v>
      </c>
      <c r="M44" s="64">
        <f>Q9</f>
        <v>0</v>
      </c>
      <c r="N44" s="65">
        <f>E9</f>
        <v>0</v>
      </c>
      <c r="O44" s="8"/>
      <c r="P44" s="28">
        <f>(L44-M44)*N44</f>
        <v>0</v>
      </c>
    </row>
    <row r="45" spans="1:25" x14ac:dyDescent="0.35">
      <c r="A45" s="215" t="s">
        <v>45</v>
      </c>
      <c r="B45" s="215"/>
      <c r="C45" s="215"/>
      <c r="J45" s="10"/>
      <c r="K45" s="8"/>
      <c r="L45" s="8"/>
      <c r="M45" s="8"/>
      <c r="N45" s="8"/>
      <c r="O45" s="8"/>
      <c r="P45" s="28">
        <f>SUM(P40:P44)</f>
        <v>0</v>
      </c>
    </row>
    <row r="46" spans="1:25" x14ac:dyDescent="0.35">
      <c r="A46" s="33" t="s">
        <v>57</v>
      </c>
      <c r="B46" s="32" t="s">
        <v>9</v>
      </c>
      <c r="C46" s="8" t="s">
        <v>12</v>
      </c>
    </row>
    <row r="47" spans="1:25" x14ac:dyDescent="0.35">
      <c r="A47" s="33" t="s">
        <v>46</v>
      </c>
      <c r="B47" s="58">
        <f>Navigasi!C7</f>
        <v>0</v>
      </c>
      <c r="C47" s="59">
        <f ca="1">SUM(B47:D47)</f>
        <v>3000000000</v>
      </c>
      <c r="D47" s="56"/>
      <c r="J47" t="s">
        <v>119</v>
      </c>
    </row>
    <row r="48" spans="1:25" x14ac:dyDescent="0.35">
      <c r="A48" s="33" t="s">
        <v>47</v>
      </c>
      <c r="B48" s="58">
        <f>Navigasi!C8</f>
        <v>0</v>
      </c>
      <c r="C48" s="59">
        <f ca="1">SUM(B48:D48)</f>
        <v>50000000</v>
      </c>
      <c r="D48" s="56"/>
    </row>
    <row r="49" spans="1:14" x14ac:dyDescent="0.35">
      <c r="B49" s="57"/>
      <c r="C49" s="50"/>
      <c r="D49" s="56"/>
      <c r="G49" t="s">
        <v>151</v>
      </c>
      <c r="L49" t="s">
        <v>120</v>
      </c>
      <c r="M49" s="87" t="e">
        <f>'Proyeksi Arus Kas'!AN13</f>
        <v>#DIV/0!</v>
      </c>
    </row>
    <row r="50" spans="1:14" x14ac:dyDescent="0.35">
      <c r="A50" s="30" t="s">
        <v>48</v>
      </c>
      <c r="B50" s="42"/>
      <c r="C50" s="15"/>
      <c r="E50" s="6">
        <f>SUM(B50:D50)</f>
        <v>0</v>
      </c>
      <c r="G50" t="s">
        <v>152</v>
      </c>
      <c r="L50" t="s">
        <v>121</v>
      </c>
      <c r="M50" s="87">
        <f>'Proyeksi Arus Kas'!AN15</f>
        <v>0</v>
      </c>
    </row>
    <row r="51" spans="1:14" x14ac:dyDescent="0.35">
      <c r="A51" s="30" t="s">
        <v>49</v>
      </c>
      <c r="B51" s="42"/>
      <c r="C51" s="15"/>
      <c r="E51" s="6">
        <f>SUM(B51:D51)</f>
        <v>0</v>
      </c>
      <c r="G51" t="s">
        <v>153</v>
      </c>
      <c r="L51" t="s">
        <v>122</v>
      </c>
      <c r="M51" s="87">
        <f>'Proyeksi Arus Kas'!AN16</f>
        <v>0</v>
      </c>
    </row>
    <row r="52" spans="1:14" x14ac:dyDescent="0.35">
      <c r="E52" s="6"/>
      <c r="G52" t="s">
        <v>154</v>
      </c>
      <c r="L52" t="s">
        <v>123</v>
      </c>
      <c r="M52" s="87">
        <f>'Proyeksi Arus Kas'!AN24-('Proyeksi Arus Kas'!AN15+'Proyeksi Arus Kas'!AN16+M54)</f>
        <v>0</v>
      </c>
    </row>
    <row r="53" spans="1:14" x14ac:dyDescent="0.35">
      <c r="A53" s="216" t="s">
        <v>76</v>
      </c>
      <c r="B53" s="216"/>
      <c r="C53" s="216"/>
      <c r="D53" s="216"/>
      <c r="E53" s="216"/>
      <c r="L53" t="s">
        <v>2</v>
      </c>
      <c r="M53" s="87" t="e">
        <f>'Proyeksi Arus Kas'!AN28</f>
        <v>#DIV/0!</v>
      </c>
    </row>
    <row r="54" spans="1:14" x14ac:dyDescent="0.35">
      <c r="A54" s="33"/>
      <c r="B54" s="32" t="s">
        <v>9</v>
      </c>
      <c r="C54" s="8" t="s">
        <v>10</v>
      </c>
      <c r="D54" s="8" t="s">
        <v>11</v>
      </c>
      <c r="E54" s="8" t="s">
        <v>74</v>
      </c>
      <c r="G54" s="6" t="s">
        <v>155</v>
      </c>
      <c r="L54" t="s">
        <v>124</v>
      </c>
      <c r="M54" s="87">
        <f>'Proyeksi Arus Kas'!AN17</f>
        <v>0</v>
      </c>
    </row>
    <row r="55" spans="1:14" ht="29" x14ac:dyDescent="0.35">
      <c r="A55" s="34" t="s">
        <v>75</v>
      </c>
      <c r="B55" s="62" t="e">
        <f>'Proyeksi Arus Kas'!AN15/Processing!C42</f>
        <v>#DIV/0!</v>
      </c>
      <c r="C55" s="63" t="e">
        <f>'Proyeksi Arus Kas'!AO15/Processing!D42</f>
        <v>#DIV/0!</v>
      </c>
      <c r="D55" s="63" t="e">
        <f>'Proyeksi Arus Kas'!AP15/Processing!E42</f>
        <v>#DIV/0!</v>
      </c>
      <c r="E55" s="62" t="e">
        <f>(B55+C55+D55)/3</f>
        <v>#DIV/0!</v>
      </c>
      <c r="G55" t="s">
        <v>156</v>
      </c>
      <c r="L55" t="s">
        <v>125</v>
      </c>
      <c r="M55" s="87" t="e">
        <f>'Proyeksi Arus Kas'!AN34</f>
        <v>#DIV/0!</v>
      </c>
    </row>
    <row r="56" spans="1:14" x14ac:dyDescent="0.35">
      <c r="A56" s="31"/>
      <c r="B56" s="47"/>
      <c r="C56" s="46"/>
      <c r="D56" s="46"/>
      <c r="E56" s="48"/>
    </row>
    <row r="57" spans="1:14" x14ac:dyDescent="0.35">
      <c r="A57" s="31" t="s">
        <v>148</v>
      </c>
      <c r="B57" s="48" t="e">
        <f>'Proyeksi Arus Kas'!AM15/Processing!F42</f>
        <v>#DIV/0!</v>
      </c>
      <c r="C57" s="49"/>
      <c r="D57" s="49"/>
      <c r="E57" s="47"/>
      <c r="G57" t="s">
        <v>157</v>
      </c>
    </row>
    <row r="58" spans="1:14" x14ac:dyDescent="0.35">
      <c r="A58" s="31" t="s">
        <v>44</v>
      </c>
      <c r="B58" s="91" t="e">
        <f>('Proyeksi Arus Kas'!AM11-'Proyeksi Arus Kas'!AM13)/'Proyeksi Arus Kas'!AM11</f>
        <v>#DIV/0!</v>
      </c>
      <c r="C58" s="49"/>
      <c r="D58" s="49"/>
      <c r="E58" s="50"/>
      <c r="G58" t="s">
        <v>158</v>
      </c>
      <c r="M58" s="88" t="s">
        <v>138</v>
      </c>
      <c r="N58" s="88" t="s">
        <v>139</v>
      </c>
    </row>
    <row r="59" spans="1:14" x14ac:dyDescent="0.35">
      <c r="A59" s="31" t="s">
        <v>149</v>
      </c>
      <c r="B59" s="91" t="e">
        <f>'Proyeksi Arus Kas'!AM34/'Proyeksi Arus Kas'!AM11</f>
        <v>#DIV/0!</v>
      </c>
      <c r="C59" s="49"/>
      <c r="D59" s="49"/>
      <c r="E59" s="50"/>
      <c r="G59" t="s">
        <v>159</v>
      </c>
      <c r="L59" s="73" t="s">
        <v>126</v>
      </c>
      <c r="M59" s="89">
        <f>'Proyeksi Arus Kas'!B11+'Proyeksi Arus Kas'!C11+'Proyeksi Arus Kas'!D11</f>
        <v>0</v>
      </c>
      <c r="N59" s="89" t="e">
        <f>'Proyeksi Arus Kas'!B34+'Proyeksi Arus Kas'!C34+'Proyeksi Arus Kas'!D34</f>
        <v>#DIV/0!</v>
      </c>
    </row>
    <row r="60" spans="1:14" x14ac:dyDescent="0.35">
      <c r="A60" s="31"/>
      <c r="E60" s="6"/>
      <c r="G60" t="s">
        <v>160</v>
      </c>
      <c r="L60" s="73" t="s">
        <v>128</v>
      </c>
      <c r="M60" s="89">
        <f>'Proyeksi Arus Kas'!E11+'Proyeksi Arus Kas'!F11+'Proyeksi Arus Kas'!G11</f>
        <v>0</v>
      </c>
      <c r="N60" s="89" t="e">
        <f>'Proyeksi Arus Kas'!E34+'Proyeksi Arus Kas'!F34+'Proyeksi Arus Kas'!G34</f>
        <v>#DIV/0!</v>
      </c>
    </row>
    <row r="61" spans="1:14" x14ac:dyDescent="0.35">
      <c r="A61" s="54" t="s">
        <v>62</v>
      </c>
      <c r="B61" s="61" t="e">
        <f>P36</f>
        <v>#DIV/0!</v>
      </c>
      <c r="C61" s="10" t="s">
        <v>63</v>
      </c>
      <c r="E61" s="6"/>
      <c r="L61" s="73" t="s">
        <v>131</v>
      </c>
      <c r="M61" s="89">
        <f>'Proyeksi Arus Kas'!H11+'Proyeksi Arus Kas'!I11+'Proyeksi Arus Kas'!J11</f>
        <v>0</v>
      </c>
      <c r="N61" s="89" t="e">
        <f>'Proyeksi Arus Kas'!H34+'Proyeksi Arus Kas'!I34+'Proyeksi Arus Kas'!J34</f>
        <v>#DIV/0!</v>
      </c>
    </row>
    <row r="62" spans="1:14" x14ac:dyDescent="0.35">
      <c r="A62" s="31"/>
      <c r="B62" s="51"/>
      <c r="E62" s="6"/>
      <c r="L62" s="73" t="s">
        <v>130</v>
      </c>
      <c r="M62" s="89">
        <f>'Proyeksi Arus Kas'!K11+'Proyeksi Arus Kas'!L11+'Proyeksi Arus Kas'!M11</f>
        <v>0</v>
      </c>
      <c r="N62" s="89" t="e">
        <f>'Proyeksi Arus Kas'!K34+'Proyeksi Arus Kas'!L34+'Proyeksi Arus Kas'!M34</f>
        <v>#DIV/0!</v>
      </c>
    </row>
    <row r="63" spans="1:14" x14ac:dyDescent="0.35">
      <c r="A63" s="54" t="s">
        <v>73</v>
      </c>
      <c r="B63" s="66">
        <f>'Proyeksi Arus Kas'!AN11</f>
        <v>0</v>
      </c>
      <c r="C63" s="43">
        <f>'Proyeksi Arus Kas'!AO11</f>
        <v>0</v>
      </c>
      <c r="D63" s="43">
        <f>'Proyeksi Arus Kas'!AP11</f>
        <v>0</v>
      </c>
      <c r="E63" s="67">
        <f>'Proyeksi Arus Kas'!AM11</f>
        <v>0</v>
      </c>
      <c r="G63" t="s">
        <v>46</v>
      </c>
      <c r="L63" s="73" t="s">
        <v>132</v>
      </c>
      <c r="M63" s="89">
        <f>'Proyeksi Arus Kas'!N11+'Proyeksi Arus Kas'!O11+'Proyeksi Arus Kas'!P11</f>
        <v>0</v>
      </c>
      <c r="N63" s="89" t="e">
        <f>'Proyeksi Arus Kas'!N34+'Proyeksi Arus Kas'!O34+'Proyeksi Arus Kas'!P34</f>
        <v>#DIV/0!</v>
      </c>
    </row>
    <row r="64" spans="1:14" x14ac:dyDescent="0.35">
      <c r="A64" s="54" t="s">
        <v>50</v>
      </c>
      <c r="B64" s="66" t="e">
        <f>'Proyeksi Arus Kas'!AN13</f>
        <v>#DIV/0!</v>
      </c>
      <c r="C64" s="43" t="e">
        <f>'Proyeksi Arus Kas'!AO13</f>
        <v>#DIV/0!</v>
      </c>
      <c r="D64" s="43" t="e">
        <f>'Proyeksi Arus Kas'!AP13</f>
        <v>#DIV/0!</v>
      </c>
      <c r="E64" s="66" t="e">
        <f>'Proyeksi Arus Kas'!AM13</f>
        <v>#DIV/0!</v>
      </c>
      <c r="G64" t="s">
        <v>161</v>
      </c>
      <c r="L64" s="73" t="s">
        <v>127</v>
      </c>
      <c r="M64" s="89">
        <f>'Proyeksi Arus Kas'!Q11+'Proyeksi Arus Kas'!R11+'Proyeksi Arus Kas'!S11</f>
        <v>0</v>
      </c>
      <c r="N64" s="89" t="e">
        <f>'Proyeksi Arus Kas'!Q34+'Proyeksi Arus Kas'!R34+'Proyeksi Arus Kas'!S34</f>
        <v>#DIV/0!</v>
      </c>
    </row>
    <row r="65" spans="1:14" x14ac:dyDescent="0.35">
      <c r="A65" s="54" t="s">
        <v>51</v>
      </c>
      <c r="B65" s="66" t="e">
        <f>B63-B64</f>
        <v>#DIV/0!</v>
      </c>
      <c r="C65" s="43" t="e">
        <f>C63-C64</f>
        <v>#DIV/0!</v>
      </c>
      <c r="D65" s="43" t="e">
        <f>D63-D64</f>
        <v>#DIV/0!</v>
      </c>
      <c r="E65" s="67" t="e">
        <f>E63-E64</f>
        <v>#DIV/0!</v>
      </c>
      <c r="G65" t="s">
        <v>163</v>
      </c>
      <c r="L65" s="73" t="s">
        <v>133</v>
      </c>
      <c r="M65" s="89">
        <f>'Proyeksi Arus Kas'!T11+'Proyeksi Arus Kas'!U11+'Proyeksi Arus Kas'!V11</f>
        <v>0</v>
      </c>
      <c r="N65" s="89" t="e">
        <f>'Proyeksi Arus Kas'!T34+'Proyeksi Arus Kas'!U34+'Proyeksi Arus Kas'!V34</f>
        <v>#DIV/0!</v>
      </c>
    </row>
    <row r="66" spans="1:14" x14ac:dyDescent="0.35">
      <c r="A66" s="31"/>
      <c r="B66" s="48"/>
      <c r="C66" s="49"/>
      <c r="D66" s="49"/>
      <c r="E66" s="50"/>
      <c r="G66" t="s">
        <v>165</v>
      </c>
      <c r="L66" s="73" t="s">
        <v>134</v>
      </c>
      <c r="M66" s="89">
        <f>'Proyeksi Arus Kas'!W11+'Proyeksi Arus Kas'!X11+'Proyeksi Arus Kas'!Y11</f>
        <v>0</v>
      </c>
      <c r="N66" s="89" t="e">
        <f>'Proyeksi Arus Kas'!W34+'Proyeksi Arus Kas'!X34+'Proyeksi Arus Kas'!Y34</f>
        <v>#DIV/0!</v>
      </c>
    </row>
    <row r="67" spans="1:14" x14ac:dyDescent="0.35">
      <c r="A67" s="54" t="s">
        <v>52</v>
      </c>
      <c r="B67" s="66">
        <f>'Proyeksi Arus Kas'!AN24</f>
        <v>0</v>
      </c>
      <c r="C67" s="43">
        <f>'Proyeksi Arus Kas'!AO24</f>
        <v>0</v>
      </c>
      <c r="D67" s="43">
        <f>'Proyeksi Arus Kas'!AP24</f>
        <v>0</v>
      </c>
      <c r="E67" s="67">
        <f>'Proyeksi Arus Kas'!AM24</f>
        <v>0</v>
      </c>
      <c r="G67" t="s">
        <v>166</v>
      </c>
      <c r="L67" s="73" t="s">
        <v>135</v>
      </c>
      <c r="M67" s="89">
        <f>'Proyeksi Arus Kas'!Z11+'Proyeksi Arus Kas'!AA11+'Proyeksi Arus Kas'!AB11</f>
        <v>0</v>
      </c>
      <c r="N67" s="89" t="e">
        <f>'Proyeksi Arus Kas'!Z34+'Proyeksi Arus Kas'!AA34+'Proyeksi Arus Kas'!AB34</f>
        <v>#DIV/0!</v>
      </c>
    </row>
    <row r="68" spans="1:14" x14ac:dyDescent="0.35">
      <c r="A68" s="54" t="s">
        <v>64</v>
      </c>
      <c r="B68" s="66" t="e">
        <f>'Proyeksi Arus Kas'!AN26</f>
        <v>#DIV/0!</v>
      </c>
      <c r="C68" s="43" t="e">
        <f>'Proyeksi Arus Kas'!AO26</f>
        <v>#DIV/0!</v>
      </c>
      <c r="D68" s="43" t="e">
        <f>'Proyeksi Arus Kas'!AP26</f>
        <v>#DIV/0!</v>
      </c>
      <c r="E68" s="67" t="e">
        <f>'Proyeksi Arus Kas'!AM26</f>
        <v>#DIV/0!</v>
      </c>
      <c r="L68" s="73" t="s">
        <v>136</v>
      </c>
      <c r="M68" s="89">
        <f>'Proyeksi Arus Kas'!AC11+'Proyeksi Arus Kas'!AD11+'Proyeksi Arus Kas'!AE11</f>
        <v>0</v>
      </c>
      <c r="N68" s="89" t="e">
        <f>'Proyeksi Arus Kas'!AC34+'Proyeksi Arus Kas'!AD34+'Proyeksi Arus Kas'!AE34</f>
        <v>#DIV/0!</v>
      </c>
    </row>
    <row r="69" spans="1:14" x14ac:dyDescent="0.35">
      <c r="A69" s="31"/>
      <c r="B69" s="48"/>
      <c r="C69" s="49"/>
      <c r="D69" s="49"/>
      <c r="E69" s="50"/>
      <c r="G69" t="s">
        <v>162</v>
      </c>
      <c r="L69" s="73" t="s">
        <v>129</v>
      </c>
      <c r="M69" s="89">
        <f>'Proyeksi Arus Kas'!AF11+'Proyeksi Arus Kas'!AG11+'Proyeksi Arus Kas'!AH11</f>
        <v>0</v>
      </c>
      <c r="N69" s="89" t="e">
        <f>'Proyeksi Arus Kas'!AF34+'Proyeksi Arus Kas'!AG34+'Proyeksi Arus Kas'!AH34</f>
        <v>#DIV/0!</v>
      </c>
    </row>
    <row r="70" spans="1:14" x14ac:dyDescent="0.35">
      <c r="A70" s="54" t="s">
        <v>65</v>
      </c>
      <c r="B70" s="66" t="e">
        <f>'Proyeksi Arus Kas'!AN28</f>
        <v>#DIV/0!</v>
      </c>
      <c r="C70" s="43" t="e">
        <f>'Proyeksi Arus Kas'!AO28</f>
        <v>#DIV/0!</v>
      </c>
      <c r="D70" s="43" t="e">
        <f>'Proyeksi Arus Kas'!AP28</f>
        <v>#DIV/0!</v>
      </c>
      <c r="E70" s="67" t="e">
        <f>'Proyeksi Arus Kas'!AM28</f>
        <v>#DIV/0!</v>
      </c>
      <c r="G70" t="s">
        <v>164</v>
      </c>
      <c r="L70" s="73" t="s">
        <v>137</v>
      </c>
      <c r="M70" s="89">
        <f>'Proyeksi Arus Kas'!AI11+'Proyeksi Arus Kas'!AJ11+'Proyeksi Arus Kas'!AK11</f>
        <v>0</v>
      </c>
      <c r="N70" s="89" t="e">
        <f>'Proyeksi Arus Kas'!AI34+'Proyeksi Arus Kas'!AJ34+'Proyeksi Arus Kas'!AK34</f>
        <v>#DIV/0!</v>
      </c>
    </row>
    <row r="71" spans="1:14" x14ac:dyDescent="0.35">
      <c r="A71" s="54" t="s">
        <v>53</v>
      </c>
      <c r="B71" s="66" t="e">
        <f>'Proyeksi Arus Kas'!AN34</f>
        <v>#DIV/0!</v>
      </c>
      <c r="C71" s="43" t="e">
        <f>'Proyeksi Arus Kas'!AO34</f>
        <v>#DIV/0!</v>
      </c>
      <c r="D71" s="43" t="e">
        <f>'Proyeksi Arus Kas'!AP34</f>
        <v>#DIV/0!</v>
      </c>
      <c r="E71" s="67" t="e">
        <f>'Proyeksi Arus Kas'!AM34</f>
        <v>#DIV/0!</v>
      </c>
    </row>
    <row r="72" spans="1:14" x14ac:dyDescent="0.35">
      <c r="A72" s="31"/>
      <c r="E72" s="6"/>
    </row>
    <row r="73" spans="1:14" ht="29" x14ac:dyDescent="0.35">
      <c r="A73" s="54" t="s">
        <v>54</v>
      </c>
      <c r="B73" s="32"/>
      <c r="C73" s="13" t="e">
        <f>(C63-B63)/B63</f>
        <v>#DIV/0!</v>
      </c>
      <c r="D73" s="13" t="e">
        <f>(D63-C63)/C63</f>
        <v>#DIV/0!</v>
      </c>
      <c r="E73" s="6"/>
    </row>
    <row r="74" spans="1:14" x14ac:dyDescent="0.35">
      <c r="A74" s="31"/>
      <c r="E74" s="6"/>
      <c r="G74" t="s">
        <v>43</v>
      </c>
    </row>
    <row r="75" spans="1:14" x14ac:dyDescent="0.35">
      <c r="A75" s="216" t="s">
        <v>72</v>
      </c>
      <c r="B75" s="216"/>
      <c r="C75" s="216"/>
      <c r="D75" s="216"/>
      <c r="E75" s="216"/>
      <c r="G75" t="s">
        <v>168</v>
      </c>
    </row>
    <row r="76" spans="1:14" x14ac:dyDescent="0.35">
      <c r="A76" s="32"/>
      <c r="B76" s="32" t="s">
        <v>9</v>
      </c>
      <c r="C76" s="32" t="s">
        <v>10</v>
      </c>
      <c r="D76" s="32" t="s">
        <v>11</v>
      </c>
      <c r="E76" s="32" t="s">
        <v>12</v>
      </c>
      <c r="G76" s="99"/>
    </row>
    <row r="77" spans="1:14" x14ac:dyDescent="0.35">
      <c r="A77" s="33" t="s">
        <v>69</v>
      </c>
      <c r="B77" s="52" t="e">
        <f>B67/P45</f>
        <v>#DIV/0!</v>
      </c>
      <c r="C77" s="52" t="e">
        <f>C67/P45</f>
        <v>#DIV/0!</v>
      </c>
      <c r="D77" s="52" t="e">
        <f>D67/P45</f>
        <v>#DIV/0!</v>
      </c>
      <c r="E77" s="53" t="e">
        <f>SUM(B77:D77)</f>
        <v>#DIV/0!</v>
      </c>
    </row>
    <row r="78" spans="1:14" x14ac:dyDescent="0.35">
      <c r="A78" s="33"/>
      <c r="B78" s="52"/>
      <c r="C78" s="52"/>
      <c r="D78" s="52"/>
      <c r="E78" s="53"/>
    </row>
    <row r="79" spans="1:14" x14ac:dyDescent="0.35">
      <c r="A79" s="33" t="s">
        <v>70</v>
      </c>
      <c r="B79" s="52" t="s">
        <v>9</v>
      </c>
      <c r="C79" s="53" t="s">
        <v>10</v>
      </c>
      <c r="D79" s="53" t="s">
        <v>11</v>
      </c>
      <c r="E79" s="53" t="s">
        <v>12</v>
      </c>
    </row>
    <row r="80" spans="1:14" x14ac:dyDescent="0.35">
      <c r="A80" s="33">
        <f>J40</f>
        <v>0</v>
      </c>
      <c r="B80" s="52" t="e">
        <f>B77*N40</f>
        <v>#DIV/0!</v>
      </c>
      <c r="C80" s="53" t="e">
        <f>C77*N40</f>
        <v>#DIV/0!</v>
      </c>
      <c r="D80" s="53" t="e">
        <f>D77*N40</f>
        <v>#DIV/0!</v>
      </c>
      <c r="E80" s="53" t="e">
        <f>SUM(B80:D80)</f>
        <v>#DIV/0!</v>
      </c>
    </row>
    <row r="81" spans="1:5" x14ac:dyDescent="0.35">
      <c r="A81" s="33">
        <f>J41</f>
        <v>0</v>
      </c>
      <c r="B81" s="52" t="e">
        <f>B77*N41</f>
        <v>#DIV/0!</v>
      </c>
      <c r="C81" s="53" t="e">
        <f>C77*N41</f>
        <v>#DIV/0!</v>
      </c>
      <c r="D81" s="53" t="e">
        <f>D77*N41</f>
        <v>#DIV/0!</v>
      </c>
      <c r="E81" s="53" t="e">
        <f>SUM(B81:D81)</f>
        <v>#DIV/0!</v>
      </c>
    </row>
    <row r="82" spans="1:5" x14ac:dyDescent="0.35">
      <c r="A82" s="33">
        <f>J42</f>
        <v>0</v>
      </c>
      <c r="B82" s="52" t="e">
        <f>B77*N42</f>
        <v>#DIV/0!</v>
      </c>
      <c r="C82" s="53" t="e">
        <f>C77*N42</f>
        <v>#DIV/0!</v>
      </c>
      <c r="D82" s="53" t="e">
        <f>D77*N42</f>
        <v>#DIV/0!</v>
      </c>
      <c r="E82" s="53" t="e">
        <f>SUM(B82:D82)</f>
        <v>#DIV/0!</v>
      </c>
    </row>
    <row r="83" spans="1:5" x14ac:dyDescent="0.35">
      <c r="A83" s="33">
        <f>J43</f>
        <v>0</v>
      </c>
      <c r="B83" s="52" t="e">
        <f>B81*N43</f>
        <v>#DIV/0!</v>
      </c>
      <c r="C83" s="53" t="e">
        <f>C77*N43</f>
        <v>#DIV/0!</v>
      </c>
      <c r="D83" s="53" t="e">
        <f>D77*N43</f>
        <v>#DIV/0!</v>
      </c>
      <c r="E83" s="53" t="e">
        <f>SUM(B83:D83)</f>
        <v>#DIV/0!</v>
      </c>
    </row>
    <row r="84" spans="1:5" x14ac:dyDescent="0.35">
      <c r="A84" s="33">
        <f>J44</f>
        <v>0</v>
      </c>
      <c r="B84" s="52" t="e">
        <f>B77*N44</f>
        <v>#DIV/0!</v>
      </c>
      <c r="C84" s="53" t="e">
        <f>C77*N44</f>
        <v>#DIV/0!</v>
      </c>
      <c r="D84" s="53" t="e">
        <f>D77*N44</f>
        <v>#DIV/0!</v>
      </c>
      <c r="E84" s="53" t="e">
        <f>SUM(B84:D84)</f>
        <v>#DIV/0!</v>
      </c>
    </row>
    <row r="86" spans="1:5" x14ac:dyDescent="0.35">
      <c r="A86" s="54" t="s">
        <v>55</v>
      </c>
      <c r="B86" s="55">
        <f ca="1">(C47+C48)/(B71/12)</f>
        <v>35.2764284061994</v>
      </c>
      <c r="C86" s="10" t="s">
        <v>71</v>
      </c>
    </row>
    <row r="88" spans="1:5" x14ac:dyDescent="0.35">
      <c r="B88" s="90">
        <f ca="1">B86</f>
        <v>0</v>
      </c>
    </row>
  </sheetData>
  <sheetProtection algorithmName="SHA-512" hashValue="y6iQBZUeq+pnlgtxGgypNDMOwkieMz89dUlkL/zbumwXq2X4SGUWAFdjeFZCALomfILjamcO44/qtGOmppLYCA==" saltValue="GBio54Ugur3WcXPwuL3lhQ==" spinCount="100000" sheet="1" formatCells="0" formatColumns="0" formatRows="0" insertColumns="0" insertRows="0" insertHyperlinks="0" deleteColumns="0" deleteRows="0" sort="0" autoFilter="0" pivotTables="0"/>
  <mergeCells count="11">
    <mergeCell ref="S3:T3"/>
    <mergeCell ref="A75:E75"/>
    <mergeCell ref="A45:C45"/>
    <mergeCell ref="I22:P22"/>
    <mergeCell ref="A53:E53"/>
    <mergeCell ref="J38:P38"/>
    <mergeCell ref="B39:F39"/>
    <mergeCell ref="B3:G3"/>
    <mergeCell ref="B12:F12"/>
    <mergeCell ref="B14:F14"/>
    <mergeCell ref="J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Navigasi</vt:lpstr>
      <vt:lpstr>Proyeksi Arus Kas</vt:lpstr>
      <vt:lpstr>Processing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Dion Dewa Barata</cp:lastModifiedBy>
  <dcterms:created xsi:type="dcterms:W3CDTF">2025-06-03T15:33:38Z</dcterms:created>
  <dcterms:modified xsi:type="dcterms:W3CDTF">2025-10-08T11:05:16Z</dcterms:modified>
</cp:coreProperties>
</file>